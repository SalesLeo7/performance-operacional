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rformance_geral_cjm\00 - HTML's update\outputs\01a08633-89b4-7283-8814-f0b65f6970f7\"/>
    </mc:Choice>
  </mc:AlternateContent>
  <xr:revisionPtr revIDLastSave="0" documentId="13_ncr:1_{1FFC2D04-A627-49B8-8AFA-49F7DDCF8CCF}" xr6:coauthVersionLast="47" xr6:coauthVersionMax="47" xr10:uidLastSave="{00000000-0000-0000-0000-000000000000}"/>
  <bookViews>
    <workbookView xWindow="-120" yWindow="-120" windowWidth="29040" windowHeight="15720" firstSheet="5" activeTab="12" xr2:uid="{00000000-000D-0000-FFFF-FFFF00000000}"/>
  </bookViews>
  <sheets>
    <sheet name="Orientacoes" sheetId="1" r:id="rId1"/>
    <sheet name="Capacidade" sheetId="2" r:id="rId2"/>
    <sheet name="Jornada" sheetId="3" r:id="rId3"/>
    <sheet name="Feriados" sheetId="4" r:id="rId4"/>
    <sheet name="MetasEtapas" sheetId="5" r:id="rId5"/>
    <sheet name="Regras" sheetId="6" r:id="rId6"/>
    <sheet name="RegrasGross" sheetId="7" r:id="rId7"/>
    <sheet name="FontesOutbound" sheetId="8" r:id="rId8"/>
    <sheet name="OwnerAliases" sheetId="9" r:id="rId9"/>
    <sheet name="FontesInbound" sheetId="10" r:id="rId10"/>
    <sheet name="RegrasInbound" sheetId="11" r:id="rId11"/>
    <sheet name="CapacidadeInbound" sheetId="12" r:id="rId12"/>
    <sheet name="ProcessosOutbound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2" l="1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I15" i="5"/>
  <c r="I14" i="5"/>
  <c r="I13" i="5"/>
  <c r="I12" i="5"/>
  <c r="I11" i="5"/>
  <c r="I10" i="5"/>
  <c r="I9" i="5"/>
  <c r="I8" i="5"/>
  <c r="I7" i="5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</calcChain>
</file>

<file path=xl/sharedStrings.xml><?xml version="1.0" encoding="utf-8"?>
<sst xmlns="http://schemas.openxmlformats.org/spreadsheetml/2006/main" count="1933" uniqueCount="307">
  <si>
    <t>Parâmetros operacionais de Inbound e Outbound</t>
  </si>
  <si>
    <t>Edite as entradas amarelas e execute Atualizar Dashboard Atualizado.cmd para recalcular o dashboard.</t>
  </si>
  <si>
    <t>Ordem de atualização</t>
  </si>
  <si>
    <t>Ação</t>
  </si>
  <si>
    <t>Em FontesInbound e FontesOutbound, revise arquivos, cortes e fontes ativas.</t>
  </si>
  <si>
    <t>Em RegrasInbound e RegrasGross, defina início, fim, prazo e vigência por cliente e Owner.</t>
  </si>
  <si>
    <t>Em CapacidadeInbound e Capacidade, valide o limite diário oficial por cliente e Owner.</t>
  </si>
  <si>
    <t>Em OwnerAliases, normalize o Owner recebido nas duas operações.</t>
  </si>
  <si>
    <t>Revise Jornada e Feriados e execute Atualizar Dashboard Atualizado.cmd.</t>
  </si>
  <si>
    <t>Conceito</t>
  </si>
  <si>
    <t>Regra aplicada</t>
  </si>
  <si>
    <t>Gross recalculado</t>
  </si>
  <si>
    <t>Classifica cada linha pela regra ativa do cliente, usando os eventos, cortes e prazos configurados em RegrasGross.</t>
  </si>
  <si>
    <t>Gross realizado</t>
  </si>
  <si>
    <t>Inclui processos concluídos e processos ainda abertos cujo prazo já venceu.</t>
  </si>
  <si>
    <t>Gross de concluídos</t>
  </si>
  <si>
    <t>Inclui somente processos que possuem o evento final configurado.</t>
  </si>
  <si>
    <t>Em andamento</t>
  </si>
  <si>
    <t>Processos abertos antes do vencimento ficam fora do Gross realizado e aparecem na visão operacional.</t>
  </si>
  <si>
    <t>Gross da base</t>
  </si>
  <si>
    <t>Mantém a coluna Performance original para comparação com o resultado recalculado.</t>
  </si>
  <si>
    <t>NET</t>
  </si>
  <si>
    <t>Aplica a capacidade oficial ao Gross recalculado. O excesso de linhas permanece no Gross e sai do NET.</t>
  </si>
  <si>
    <t>Limite de corte</t>
  </si>
  <si>
    <t>O fim da faixa é inclusivo. Exemplo: exatamente 14:00 pertence à faixa até 14:00.</t>
  </si>
  <si>
    <t>Horas e dias úteis</t>
  </si>
  <si>
    <t>Considera Jornada, Feriados e exceções. O prazo pode usar dia útil mais hora ou quantidade de horas úteis.</t>
  </si>
  <si>
    <t>Sem informação</t>
  </si>
  <si>
    <t>Registros sem regra, início ou dados necessários ficam como Não calculado e aparecem na cobertura.</t>
  </si>
  <si>
    <t>Fonte</t>
  </si>
  <si>
    <t>Endereço</t>
  </si>
  <si>
    <t>Inbound migrado</t>
  </si>
  <si>
    <t>Base_Clientes/base_consolidade_inbound/inbound_consolidado.csv, a partir do corte por cliente</t>
  </si>
  <si>
    <t>Inbound legado</t>
  </si>
  <si>
    <t>00 - Bases OVERVIEW HTMLs.xlsx / OverviewAdvice, somente antes do corte de cada cliente</t>
  </si>
  <si>
    <t>Outbound legado</t>
  </si>
  <si>
    <t>00 - Bases OVERVIEW HTMLs.xlsx / OverviewOrder, somente antes do corte de cada cliente</t>
  </si>
  <si>
    <t>Outbound migrado</t>
  </si>
  <si>
    <t>Base_Clientes/base_consolidade_outbound/outbound_consolidado.csv, a partir do corte por cliente</t>
  </si>
  <si>
    <t>Capacidade diária por cliente</t>
  </si>
  <si>
    <t>A capacidade sugerida é o p95 do volume diário liberado. O NET exige capacidade oficial preenchida e ativa.</t>
  </si>
  <si>
    <t>ClientKey</t>
  </si>
  <si>
    <t>Cliente</t>
  </si>
  <si>
    <t>CapacidadeOficial</t>
  </si>
  <si>
    <t>CapacidadeSugerida</t>
  </si>
  <si>
    <t>VigenciaInicio</t>
  </si>
  <si>
    <t>VigenciaFim</t>
  </si>
  <si>
    <t>Ativo</t>
  </si>
  <si>
    <t>Metodo</t>
  </si>
  <si>
    <t>Observacao</t>
  </si>
  <si>
    <t>StatusNET</t>
  </si>
  <si>
    <t>OwnerKey</t>
  </si>
  <si>
    <t>ALGAR</t>
  </si>
  <si>
    <t>Não</t>
  </si>
  <si>
    <t>p95 de 61 dias com liberação</t>
  </si>
  <si>
    <t>DEFAULT</t>
  </si>
  <si>
    <t>ASUS</t>
  </si>
  <si>
    <t>p95 de 87 dias com liberação</t>
  </si>
  <si>
    <t>BAT</t>
  </si>
  <si>
    <t>p95 de 91 dias com liberação</t>
  </si>
  <si>
    <t>BMW</t>
  </si>
  <si>
    <t>p95 de 174 dias com liberação</t>
  </si>
  <si>
    <t>BT</t>
  </si>
  <si>
    <t>p95 de 3 dias com liberação</t>
  </si>
  <si>
    <t>CLARO</t>
  </si>
  <si>
    <t>p95 de 10 dias com liberação</t>
  </si>
  <si>
    <t>CORBION</t>
  </si>
  <si>
    <t>p95 de 18 dias com liberação</t>
  </si>
  <si>
    <t>DUCATI</t>
  </si>
  <si>
    <t>Sim</t>
  </si>
  <si>
    <t>p95 de 36 dias com liberação</t>
  </si>
  <si>
    <t>EDELWHITE</t>
  </si>
  <si>
    <t>p95 de 14 dias com liberação</t>
  </si>
  <si>
    <t>FIVEHANDS</t>
  </si>
  <si>
    <t>GAC</t>
  </si>
  <si>
    <t>p95 de 47 dias com liberação</t>
  </si>
  <si>
    <t>GNUTRA</t>
  </si>
  <si>
    <t>p95 de 0 dias com liberação</t>
  </si>
  <si>
    <t>GWM</t>
  </si>
  <si>
    <t>p95 de 117 dias com liberação</t>
  </si>
  <si>
    <t>HANSEN</t>
  </si>
  <si>
    <t>p95 de 16 dias com liberação</t>
  </si>
  <si>
    <t>HARLEY</t>
  </si>
  <si>
    <t>p95 de 98 dias com liberação</t>
  </si>
  <si>
    <t>JETOUR</t>
  </si>
  <si>
    <t>p95 de 82 dias com liberação</t>
  </si>
  <si>
    <t>MWC</t>
  </si>
  <si>
    <t>p95 de 21 dias com liberação</t>
  </si>
  <si>
    <t>OLESEN</t>
  </si>
  <si>
    <t>p95 de 38 dias com liberação</t>
  </si>
  <si>
    <t>OMODA</t>
  </si>
  <si>
    <t>p95 de 88 dias com liberação</t>
  </si>
  <si>
    <t>ROQUETTE</t>
  </si>
  <si>
    <t>p95 de 5 dias com liberação</t>
  </si>
  <si>
    <t>SAIC</t>
  </si>
  <si>
    <t>p95 de 15 dias com liberação</t>
  </si>
  <si>
    <t>SCANDERRA</t>
  </si>
  <si>
    <t>XSYS</t>
  </si>
  <si>
    <t>p95 de 60 dias com liberação</t>
  </si>
  <si>
    <t>JAC</t>
  </si>
  <si>
    <t>p95 de 3 dias com alocação</t>
  </si>
  <si>
    <t>Validar após maior histórico</t>
  </si>
  <si>
    <t>AMZNLABS</t>
  </si>
  <si>
    <t>p95 de 14 dias com alocação</t>
  </si>
  <si>
    <t>Validar capacidade oficial</t>
  </si>
  <si>
    <t>NET não calculado</t>
  </si>
  <si>
    <t>COMBA</t>
  </si>
  <si>
    <t>p95 de 10 dias com alocação</t>
  </si>
  <si>
    <t>MART</t>
  </si>
  <si>
    <t>p95 de 11 dias com alocação</t>
  </si>
  <si>
    <t>Jornada operacional</t>
  </si>
  <si>
    <t>A linha DEFAULT vale para todos os clientes. Cadastre uma linha específica somente para substituir a jornada padrão.</t>
  </si>
  <si>
    <t>InicioManha</t>
  </si>
  <si>
    <t>FimManha</t>
  </si>
  <si>
    <t>InicioTarde</t>
  </si>
  <si>
    <t>FimTarde</t>
  </si>
  <si>
    <t>FusoHorario</t>
  </si>
  <si>
    <t>America/Sao_Paulo</t>
  </si>
  <si>
    <t>Jornada padrão aprovada</t>
  </si>
  <si>
    <t>Feriados e exceções operacionais</t>
  </si>
  <si>
    <t>Feriados ativos não contam como dia útil. Uma exceção com DiaUtil=Sim transforma a data em dia trabalhado.</t>
  </si>
  <si>
    <t>Data</t>
  </si>
  <si>
    <t>Nome</t>
  </si>
  <si>
    <t>Abrangencia</t>
  </si>
  <si>
    <t>DiaUtil</t>
  </si>
  <si>
    <t>Fonte ou observacao</t>
  </si>
  <si>
    <t>Confraternização Universal</t>
  </si>
  <si>
    <t>Nacional</t>
  </si>
  <si>
    <t>Calendário nacional</t>
  </si>
  <si>
    <t>São Sebastião, padroeiro de Cajamar</t>
  </si>
  <si>
    <t>Municipal</t>
  </si>
  <si>
    <t>Prefeitura de Cajamar</t>
  </si>
  <si>
    <t>Aniversário de Cajamar</t>
  </si>
  <si>
    <t>Paixão de Cristo</t>
  </si>
  <si>
    <t>Tiradentes</t>
  </si>
  <si>
    <t>Dia do Trabalho</t>
  </si>
  <si>
    <t>Corpus Christi</t>
  </si>
  <si>
    <t>Revolução Constitucionalista de 1932</t>
  </si>
  <si>
    <t>Estadual</t>
  </si>
  <si>
    <t>Estado de São Paulo</t>
  </si>
  <si>
    <t>Independência do Brasil</t>
  </si>
  <si>
    <t>Nossa Senhora Aparecida</t>
  </si>
  <si>
    <t>Finados</t>
  </si>
  <si>
    <t>Proclamação da República</t>
  </si>
  <si>
    <t>Dia Nacional de Zumbi e da Consciência Negra</t>
  </si>
  <si>
    <t>Natal</t>
  </si>
  <si>
    <t>Exceção manual</t>
  </si>
  <si>
    <t>Operacional</t>
  </si>
  <si>
    <t>Preencher data, regra e ativar</t>
  </si>
  <si>
    <t>Metas por etapa</t>
  </si>
  <si>
    <t>As metas começam vazias. Até a aprovação, o dashboard mostra as distribuições sem classificar a etapa.</t>
  </si>
  <si>
    <t>EtapaOrigem</t>
  </si>
  <si>
    <t>EtapaDestino</t>
  </si>
  <si>
    <t>MetaHorasUteis</t>
  </si>
  <si>
    <t>Status</t>
  </si>
  <si>
    <t>Creation</t>
  </si>
  <si>
    <t>Released</t>
  </si>
  <si>
    <t>Allocated</t>
  </si>
  <si>
    <t>In Progress</t>
  </si>
  <si>
    <t>Picked</t>
  </si>
  <si>
    <t>Packed</t>
  </si>
  <si>
    <t>Ready to Load</t>
  </si>
  <si>
    <t>Complete</t>
  </si>
  <si>
    <t>Shipped</t>
  </si>
  <si>
    <t>Regras de qualidade</t>
  </si>
  <si>
    <t>Limites usados para explicar a confiabilidade dos tempos. Edite somente os valores amarelos.</t>
  </si>
  <si>
    <t>Parametro</t>
  </si>
  <si>
    <t>Valor</t>
  </si>
  <si>
    <t>Unidade</t>
  </si>
  <si>
    <t>Aplicacao</t>
  </si>
  <si>
    <t>CoberturaConfiavel</t>
  </si>
  <si>
    <t>%</t>
  </si>
  <si>
    <t>Cobertura igual ou superior: confiável</t>
  </si>
  <si>
    <t>CoberturaAtencao</t>
  </si>
  <si>
    <t>Cobertura entre este valor e o confiável: atenção</t>
  </si>
  <si>
    <t>AlertaDuracaoZero</t>
  </si>
  <si>
    <t>Alerta quando a proporção de durações zero ultrapassa o valor</t>
  </si>
  <si>
    <t>HorasDiaUtil</t>
  </si>
  <si>
    <t>horas</t>
  </si>
  <si>
    <t>Conversão de horas úteis para dias úteis equivalentes</t>
  </si>
  <si>
    <t>Regras de prazo do Gross por cliente</t>
  </si>
  <si>
    <t>Cada RegraID pode ter várias faixas. O início da faixa é exclusivo e o fim é inclusivo; campos vazios representam o início ou o fim do dia.</t>
  </si>
  <si>
    <t>RegraID</t>
  </si>
  <si>
    <t>EtapaInicial</t>
  </si>
  <si>
    <t>EtapaFinal</t>
  </si>
  <si>
    <t>HoraInicioExclusiva</t>
  </si>
  <si>
    <t>HoraFimInclusiva</t>
  </si>
  <si>
    <t>TipoPrazo</t>
  </si>
  <si>
    <t>DiasUteis</t>
  </si>
  <si>
    <t>HoraLimite</t>
  </si>
  <si>
    <t>HorasUteis</t>
  </si>
  <si>
    <t>ToleranciaMinutos</t>
  </si>
  <si>
    <t>PADRAO</t>
  </si>
  <si>
    <t>Dia útil + hora</t>
  </si>
  <si>
    <t>Alocado até 14h: concluir no mesmo dia útil até 17h</t>
  </si>
  <si>
    <t>Alocado após 14h: concluir no próximo dia útil até 17h</t>
  </si>
  <si>
    <t>Alocado até 14h: concluir no mesmo dia útil até 20h</t>
  </si>
  <si>
    <t>Alocado após 14h: concluir em D+2 útil até 20h</t>
  </si>
  <si>
    <t>Alocado até 14h: concluir em D0 até 20h</t>
  </si>
  <si>
    <t>Regra ativa</t>
  </si>
  <si>
    <t>Alocado após 14h: concluir em D+2 até 20h</t>
  </si>
  <si>
    <t>Migração das fontes Outbound</t>
  </si>
  <si>
    <t>A data de corte é inclusiva na base consolidada. Antes dela, o histórico continua vindo de OverviewOrder.</t>
  </si>
  <si>
    <t>ArquivoCSV</t>
  </si>
  <si>
    <t>DataCorte</t>
  </si>
  <si>
    <t>ClientAliasFonte</t>
  </si>
  <si>
    <t>OwnerObrigatorio</t>
  </si>
  <si>
    <t>outbound_consolidado.csv</t>
  </si>
  <si>
    <t>BRALGAR</t>
  </si>
  <si>
    <t>Consolidado · Owners TELECOM e VOGEL</t>
  </si>
  <si>
    <t>Ativa</t>
  </si>
  <si>
    <t>BRAMZNLABS</t>
  </si>
  <si>
    <t>Consolidado · Owner recebido da fonte</t>
  </si>
  <si>
    <t>BRACBZ</t>
  </si>
  <si>
    <t>Consolidado · Owners ECOMM e RETAIL</t>
  </si>
  <si>
    <t>BRBAT</t>
  </si>
  <si>
    <t>Consolidado · Owner único</t>
  </si>
  <si>
    <t>BRBT</t>
  </si>
  <si>
    <t>Consolidado · múltiplos aliases CLARO</t>
  </si>
  <si>
    <t>BRCOMBA</t>
  </si>
  <si>
    <t>BRCORBION</t>
  </si>
  <si>
    <t>BRDUCATIMO</t>
  </si>
  <si>
    <t>BREDELWHIT</t>
  </si>
  <si>
    <t>BRFIVEHNDS</t>
  </si>
  <si>
    <t>BRGACMES</t>
  </si>
  <si>
    <t>BRGNUTRA</t>
  </si>
  <si>
    <t>BRGWM</t>
  </si>
  <si>
    <t>BRHANSEN</t>
  </si>
  <si>
    <t>BRHARLD</t>
  </si>
  <si>
    <t>BRJAC</t>
  </si>
  <si>
    <t>BRCJ1JET</t>
  </si>
  <si>
    <t>BRMART</t>
  </si>
  <si>
    <t>BRMWC</t>
  </si>
  <si>
    <t>Consolidado · aliases BROLESEN e BROLESENCP</t>
  </si>
  <si>
    <t>BROMODA</t>
  </si>
  <si>
    <t>BRRQTCAJ</t>
  </si>
  <si>
    <t>BRSAIC</t>
  </si>
  <si>
    <t>BRSCANDERR</t>
  </si>
  <si>
    <t>BRCJ1XYS</t>
  </si>
  <si>
    <t>Normalização de Owner do Outbound</t>
  </si>
  <si>
    <t>OwnerRaw preserva o valor recebido; OwnerKey e OwnerName controlam filtros e parâmetros.</t>
  </si>
  <si>
    <t>OwnerAlias</t>
  </si>
  <si>
    <t>OwnerName</t>
  </si>
  <si>
    <t>TELECOM</t>
  </si>
  <si>
    <t>Telecom</t>
  </si>
  <si>
    <t>Divisão operacional</t>
  </si>
  <si>
    <t>VOGEL</t>
  </si>
  <si>
    <t>Vogel</t>
  </si>
  <si>
    <t>ACBZECOM</t>
  </si>
  <si>
    <t>ECOMM</t>
  </si>
  <si>
    <t>E-commerce</t>
  </si>
  <si>
    <t>ASUS e-commerce</t>
  </si>
  <si>
    <t>ACBZRETAIL</t>
  </si>
  <si>
    <t>RETAIL</t>
  </si>
  <si>
    <t>Retail</t>
  </si>
  <si>
    <t>ASUS varejo</t>
  </si>
  <si>
    <t>PRINCIPAL</t>
  </si>
  <si>
    <t>Principal</t>
  </si>
  <si>
    <t>Owner único</t>
  </si>
  <si>
    <t>BROLESEN</t>
  </si>
  <si>
    <t>Migração da fonte Inbound</t>
  </si>
  <si>
    <t>O corte é inclusivo na base consolidada. Antes dele, o histórico permanece em OverviewAdvice.</t>
  </si>
  <si>
    <t>inbound_consolidado.csv</t>
  </si>
  <si>
    <t>Fonte consolidada Inbound</t>
  </si>
  <si>
    <t>BRCLAROSPO</t>
  </si>
  <si>
    <t>Regras de prazo do Inbound por cliente</t>
  </si>
  <si>
    <t>Início e fim são configuráveis. O padrão inicial usa 24 horas úteis; ajuste o SLA de cada cliente quando necessário.</t>
  </si>
  <si>
    <t>Finish</t>
  </si>
  <si>
    <t>Horas úteis</t>
  </si>
  <si>
    <t>SLA inicial recomendado: 24 horas úteis; revise por cliente</t>
  </si>
  <si>
    <t>Data de vencimento da fonte</t>
  </si>
  <si>
    <t>Due Date define o prazo; início e fim podem ser alterados</t>
  </si>
  <si>
    <t>Capacidade diária do Recebimento por cliente e Owner</t>
  </si>
  <si>
    <t>A capacidade sugerida é o p95 das linhas recebidas por dia no evento inicial da regra. O NET exige capacidade oficial preenchida e ativa.</t>
  </si>
  <si>
    <t>p95 de 26 dias com recebimento</t>
  </si>
  <si>
    <t>p95 de 1 dias com recebimento</t>
  </si>
  <si>
    <t>p95 de 35 dias com recebimento</t>
  </si>
  <si>
    <t>p95 de 60 dias com recebimento</t>
  </si>
  <si>
    <t>p95 de 58 dias com recebimento</t>
  </si>
  <si>
    <t>p95 de 16 dias com recebimento</t>
  </si>
  <si>
    <t>p95 de 3 dias com recebimento</t>
  </si>
  <si>
    <t>p95 de 14 dias com recebimento</t>
  </si>
  <si>
    <t>p95 de 29 dias com recebimento</t>
  </si>
  <si>
    <t>p95 de 11 dias com recebimento</t>
  </si>
  <si>
    <t>p95 de 6 dias com recebimento</t>
  </si>
  <si>
    <t>p95 de 21 dias com recebimento</t>
  </si>
  <si>
    <t>p95 de 62 dias com recebimento</t>
  </si>
  <si>
    <t>p95 de 10 dias com recebimento</t>
  </si>
  <si>
    <t>p95 de 25 dias com recebimento</t>
  </si>
  <si>
    <t>p95 de 4 dias com recebimento</t>
  </si>
  <si>
    <t>p95 de 27 dias com recebimento</t>
  </si>
  <si>
    <t>p95 de 15 dias com recebimento</t>
  </si>
  <si>
    <t>p95 de 12 dias com recebimento</t>
  </si>
  <si>
    <t>Processos Outbound</t>
  </si>
  <si>
    <t>Defina os limites de cada indicador. O tempo é medido da origem do primeiro par até o destino do segundo par.</t>
  </si>
  <si>
    <t>ProcessoKey</t>
  </si>
  <si>
    <t>ProcessoNome</t>
  </si>
  <si>
    <t>InicioOrigem</t>
  </si>
  <si>
    <t>InicioDestino</t>
  </si>
  <si>
    <t>FimOrigem</t>
  </si>
  <si>
    <t>FimDestino</t>
  </si>
  <si>
    <t>PROCESSAMENTO</t>
  </si>
  <si>
    <t>Processamento</t>
  </si>
  <si>
    <t>SEPARACAO</t>
  </si>
  <si>
    <t>Separação</t>
  </si>
  <si>
    <t>Todos os pedidos tratados como Stock: alocado até 14h, concluir em D+1 até 20h</t>
  </si>
  <si>
    <t>Todos os pedidos tratados como Stock: alocado após 14h, concluir em D+2 até 16h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</si>
</sst>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mm/dd/yy"/>
  </numFmts>
  <fonts count="5">
    <font>
      <sz val="11"/>
      <name val="Carlito"/>
    </font>
    <font>
      <sz val="10"/>
      <color rgb="FF172033"/>
      <name val="Arial"/>
      <family val="2"/>
    </font>
    <font>
      <b/>
      <sz val="15"/>
      <color rgb="FF002664"/>
      <name val="Arial"/>
      <family val="2"/>
    </font>
    <font>
      <i/>
      <sz val="10"/>
      <color rgb="FF667085"/>
      <name val="Arial"/>
      <family val="2"/>
    </font>
    <font>
      <b/>
      <sz val="10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  <fill>
      <patternFill patternType="solid">
        <fgColor rgb="FF002664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4B93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CE2EA"/>
      </bottom>
      <diagonal/>
    </border>
    <border>
      <left/>
      <right/>
      <top style="thin">
        <color rgb="FFDCE2EA"/>
      </top>
      <bottom style="thin">
        <color rgb="FFDCE2EA"/>
      </bottom>
      <diagonal/>
    </border>
    <border>
      <left/>
      <right/>
      <top style="thin">
        <color rgb="FFDCE2EA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4" fillId="2" borderId="7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3" fontId="1" fillId="3" borderId="4" xfId="0" applyNumberFormat="1" applyFont="1" applyFill="1" applyBorder="1" applyAlignment="1">
      <alignment vertical="center"/>
    </xf>
    <xf numFmtId="3" fontId="1" fillId="0" borderId="4" xfId="0" applyNumberFormat="1" applyFont="1" applyBorder="1" applyAlignment="1">
      <alignment vertical="center"/>
    </xf>
    <xf numFmtId="3" fontId="1" fillId="3" borderId="5" xfId="0" applyNumberFormat="1" applyFont="1" applyFill="1" applyBorder="1" applyAlignment="1">
      <alignment vertical="center"/>
    </xf>
    <xf numFmtId="3" fontId="1" fillId="0" borderId="5" xfId="0" applyNumberFormat="1" applyFont="1" applyBorder="1" applyAlignment="1">
      <alignment vertical="center"/>
    </xf>
    <xf numFmtId="3" fontId="1" fillId="3" borderId="6" xfId="0" applyNumberFormat="1" applyFont="1" applyFill="1" applyBorder="1" applyAlignment="1">
      <alignment vertical="center"/>
    </xf>
    <xf numFmtId="3" fontId="1" fillId="0" borderId="6" xfId="0" applyNumberFormat="1" applyFont="1" applyBorder="1" applyAlignment="1">
      <alignment vertical="center"/>
    </xf>
    <xf numFmtId="14" fontId="1" fillId="3" borderId="4" xfId="0" applyNumberFormat="1" applyFont="1" applyFill="1" applyBorder="1" applyAlignment="1">
      <alignment vertical="center"/>
    </xf>
    <xf numFmtId="14" fontId="1" fillId="3" borderId="5" xfId="0" applyNumberFormat="1" applyFont="1" applyFill="1" applyBorder="1" applyAlignment="1">
      <alignment vertical="center"/>
    </xf>
    <xf numFmtId="14" fontId="1" fillId="3" borderId="6" xfId="0" applyNumberFormat="1" applyFont="1" applyFill="1" applyBorder="1" applyAlignment="1">
      <alignment vertical="center"/>
    </xf>
    <xf numFmtId="14" fontId="1" fillId="0" borderId="4" xfId="0" applyNumberFormat="1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164" fontId="1" fillId="3" borderId="4" xfId="0" applyNumberFormat="1" applyFont="1" applyFill="1" applyBorder="1" applyAlignment="1">
      <alignment vertical="center"/>
    </xf>
    <xf numFmtId="164" fontId="1" fillId="3" borderId="5" xfId="0" applyNumberFormat="1" applyFont="1" applyFill="1" applyBorder="1" applyAlignment="1">
      <alignment vertical="center"/>
    </xf>
    <xf numFmtId="164" fontId="1" fillId="3" borderId="6" xfId="0" applyNumberFormat="1" applyFont="1" applyFill="1" applyBorder="1" applyAlignment="1">
      <alignment vertical="center"/>
    </xf>
    <xf numFmtId="165" fontId="1" fillId="3" borderId="4" xfId="0" applyNumberFormat="1" applyFont="1" applyFill="1" applyBorder="1" applyAlignment="1">
      <alignment vertical="center"/>
    </xf>
    <xf numFmtId="165" fontId="1" fillId="3" borderId="5" xfId="0" applyNumberFormat="1" applyFont="1" applyFill="1" applyBorder="1" applyAlignment="1">
      <alignment vertical="center"/>
    </xf>
    <xf numFmtId="20" fontId="1" fillId="0" borderId="4" xfId="0" applyNumberFormat="1" applyFont="1" applyBorder="1" applyAlignment="1">
      <alignment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6" xfId="0" applyFont="1" applyFill="1" applyBorder="1" applyAlignment="1">
      <alignment vertical="center"/>
    </xf>
    <xf numFmtId="20" fontId="1" fillId="5" borderId="4" xfId="0" applyNumberFormat="1" applyFont="1" applyFill="1" applyBorder="1" applyAlignment="1">
      <alignment vertical="center"/>
    </xf>
    <xf numFmtId="20" fontId="1" fillId="5" borderId="5" xfId="0" applyNumberFormat="1" applyFont="1" applyFill="1" applyBorder="1" applyAlignment="1">
      <alignment vertical="center"/>
    </xf>
    <xf numFmtId="20" fontId="1" fillId="5" borderId="6" xfId="0" applyNumberFormat="1" applyFont="1" applyFill="1" applyBorder="1" applyAlignment="1">
      <alignment vertical="center"/>
    </xf>
    <xf numFmtId="1" fontId="1" fillId="5" borderId="4" xfId="0" applyNumberFormat="1" applyFont="1" applyFill="1" applyBorder="1" applyAlignment="1">
      <alignment vertical="center"/>
    </xf>
    <xf numFmtId="1" fontId="1" fillId="5" borderId="5" xfId="0" applyNumberFormat="1" applyFont="1" applyFill="1" applyBorder="1" applyAlignment="1">
      <alignment vertical="center"/>
    </xf>
    <xf numFmtId="1" fontId="1" fillId="5" borderId="6" xfId="0" applyNumberFormat="1" applyFont="1" applyFill="1" applyBorder="1" applyAlignment="1">
      <alignment vertical="center"/>
    </xf>
    <xf numFmtId="164" fontId="1" fillId="5" borderId="4" xfId="0" applyNumberFormat="1" applyFont="1" applyFill="1" applyBorder="1" applyAlignment="1">
      <alignment vertical="center"/>
    </xf>
    <xf numFmtId="164" fontId="1" fillId="5" borderId="5" xfId="0" applyNumberFormat="1" applyFont="1" applyFill="1" applyBorder="1" applyAlignment="1">
      <alignment vertical="center"/>
    </xf>
    <xf numFmtId="164" fontId="1" fillId="5" borderId="6" xfId="0" applyNumberFormat="1" applyFont="1" applyFill="1" applyBorder="1" applyAlignment="1">
      <alignment vertical="center"/>
    </xf>
    <xf numFmtId="14" fontId="1" fillId="5" borderId="4" xfId="0" applyNumberFormat="1" applyFont="1" applyFill="1" applyBorder="1" applyAlignment="1">
      <alignment vertical="center"/>
    </xf>
    <xf numFmtId="14" fontId="1" fillId="5" borderId="5" xfId="0" applyNumberFormat="1" applyFont="1" applyFill="1" applyBorder="1" applyAlignment="1">
      <alignment vertical="center"/>
    </xf>
    <xf numFmtId="14" fontId="1" fillId="5" borderId="6" xfId="0" applyNumberFormat="1" applyFont="1" applyFill="1" applyBorder="1" applyAlignment="1">
      <alignment vertical="center"/>
    </xf>
    <xf numFmtId="0" fontId="4" fillId="6" borderId="0" xfId="0" applyFont="1" applyFill="1" applyAlignment="1">
      <alignment horizontal="center" vertical="center" wrapText="1"/>
    </xf>
    <xf numFmtId="0" fontId="1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1" fillId="7" borderId="6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8" borderId="0" xfId="0" applyFont="1" applyFill="1" applyAlignment="1">
      <alignment vertical="center"/>
    </xf>
    <xf numFmtId="14" fontId="1" fillId="8" borderId="0" xfId="0" applyNumberFormat="1" applyFont="1" applyFill="1" applyAlignment="1">
      <alignment vertical="center"/>
    </xf>
    <xf numFmtId="0" fontId="1" fillId="8" borderId="4" xfId="0" applyFont="1" applyFill="1" applyBorder="1" applyAlignment="1">
      <alignment vertical="center"/>
    </xf>
    <xf numFmtId="20" fontId="1" fillId="8" borderId="4" xfId="0" applyNumberFormat="1" applyFont="1" applyFill="1" applyBorder="1" applyAlignment="1">
      <alignment vertical="center"/>
    </xf>
    <xf numFmtId="1" fontId="1" fillId="8" borderId="4" xfId="0" applyNumberFormat="1" applyFont="1" applyFill="1" applyBorder="1" applyAlignment="1">
      <alignment vertical="center"/>
    </xf>
    <xf numFmtId="164" fontId="1" fillId="8" borderId="4" xfId="0" applyNumberFormat="1" applyFont="1" applyFill="1" applyBorder="1" applyAlignment="1">
      <alignment vertical="center"/>
    </xf>
    <xf numFmtId="14" fontId="1" fillId="8" borderId="4" xfId="0" applyNumberFormat="1" applyFont="1" applyFill="1" applyBorder="1" applyAlignment="1">
      <alignment vertical="center"/>
    </xf>
    <xf numFmtId="0" fontId="1" fillId="8" borderId="5" xfId="0" applyFont="1" applyFill="1" applyBorder="1" applyAlignment="1">
      <alignment vertical="center"/>
    </xf>
    <xf numFmtId="20" fontId="1" fillId="8" borderId="5" xfId="0" applyNumberFormat="1" applyFont="1" applyFill="1" applyBorder="1" applyAlignment="1">
      <alignment vertical="center"/>
    </xf>
    <xf numFmtId="1" fontId="1" fillId="8" borderId="5" xfId="0" applyNumberFormat="1" applyFont="1" applyFill="1" applyBorder="1" applyAlignment="1">
      <alignment vertical="center"/>
    </xf>
    <xf numFmtId="164" fontId="1" fillId="8" borderId="5" xfId="0" applyNumberFormat="1" applyFont="1" applyFill="1" applyBorder="1" applyAlignment="1">
      <alignment vertical="center"/>
    </xf>
    <xf numFmtId="14" fontId="1" fillId="8" borderId="5" xfId="0" applyNumberFormat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vertical="center"/>
    </xf>
    <xf numFmtId="0" fontId="1" fillId="10" borderId="5" xfId="0" applyFont="1" applyFill="1" applyBorder="1" applyAlignment="1">
      <alignment vertical="center"/>
    </xf>
    <xf numFmtId="0" fontId="1" fillId="10" borderId="6" xfId="0" applyFont="1" applyFill="1" applyBorder="1" applyAlignment="1">
      <alignment vertical="center"/>
    </xf>
    <xf numFmtId="14" fontId="1" fillId="10" borderId="4" xfId="0" applyNumberFormat="1" applyFont="1" applyFill="1" applyBorder="1" applyAlignment="1">
      <alignment vertical="center"/>
    </xf>
    <xf numFmtId="14" fontId="1" fillId="10" borderId="5" xfId="0" applyNumberFormat="1" applyFont="1" applyFill="1" applyBorder="1" applyAlignment="1">
      <alignment vertical="center"/>
    </xf>
    <xf numFmtId="14" fontId="1" fillId="10" borderId="6" xfId="0" applyNumberFormat="1" applyFont="1" applyFill="1" applyBorder="1" applyAlignment="1">
      <alignment vertical="center"/>
    </xf>
    <xf numFmtId="20" fontId="1" fillId="10" borderId="4" xfId="0" applyNumberFormat="1" applyFont="1" applyFill="1" applyBorder="1" applyAlignment="1">
      <alignment vertical="center"/>
    </xf>
    <xf numFmtId="20" fontId="1" fillId="10" borderId="5" xfId="0" applyNumberFormat="1" applyFont="1" applyFill="1" applyBorder="1" applyAlignment="1">
      <alignment vertical="center"/>
    </xf>
    <xf numFmtId="20" fontId="1" fillId="10" borderId="6" xfId="0" applyNumberFormat="1" applyFont="1" applyFill="1" applyBorder="1" applyAlignment="1">
      <alignment vertical="center"/>
    </xf>
    <xf numFmtId="0" fontId="4" fillId="11" borderId="2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vertical="center"/>
    </xf>
    <xf numFmtId="0" fontId="1" fillId="12" borderId="5" xfId="0" applyFont="1" applyFill="1" applyBorder="1" applyAlignment="1">
      <alignment vertical="center"/>
    </xf>
    <xf numFmtId="0" fontId="1" fillId="12" borderId="6" xfId="0" applyFont="1" applyFill="1" applyBorder="1" applyAlignment="1">
      <alignment vertical="center"/>
    </xf>
    <xf numFmtId="14" fontId="1" fillId="12" borderId="4" xfId="0" applyNumberFormat="1" applyFont="1" applyFill="1" applyBorder="1" applyAlignment="1">
      <alignment vertical="center"/>
    </xf>
    <xf numFmtId="14" fontId="1" fillId="12" borderId="5" xfId="0" applyNumberFormat="1" applyFont="1" applyFill="1" applyBorder="1" applyAlignment="1">
      <alignment vertical="center"/>
    </xf>
    <xf numFmtId="14" fontId="1" fillId="12" borderId="6" xfId="0" applyNumberFormat="1" applyFont="1" applyFill="1" applyBorder="1" applyAlignment="1">
      <alignment vertical="center"/>
    </xf>
    <xf numFmtId="166" fontId="1" fillId="3" borderId="4" xfId="0" applyNumberFormat="1" applyFont="1" applyFill="1" applyBorder="1" applyAlignment="1">
      <alignment vertical="center"/>
    </xf>
    <xf numFmtId="166" fontId="1" fillId="3" borderId="5" xfId="0" applyNumberFormat="1" applyFont="1" applyFill="1" applyBorder="1" applyAlignment="1">
      <alignment vertical="center"/>
    </xf>
    <xf numFmtId="166" fontId="1" fillId="3" borderId="6" xfId="0" applyNumberFormat="1" applyFont="1" applyFill="1" applyBorder="1" applyAlignment="1">
      <alignment vertical="center"/>
    </xf>
    <xf numFmtId="166" fontId="1" fillId="3" borderId="0" xfId="0" applyNumberFormat="1" applyFont="1" applyFill="1" applyAlignment="1">
      <alignment vertical="center"/>
    </xf>
    <xf numFmtId="166" fontId="1" fillId="0" borderId="0" xfId="0" applyNumberFormat="1" applyFont="1"/>
    <xf numFmtId="0" fontId="4" fillId="13" borderId="2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vertical="center"/>
    </xf>
    <xf numFmtId="0" fontId="1" fillId="14" borderId="6" xfId="0" applyFont="1" applyFill="1" applyBorder="1" applyAlignment="1">
      <alignment vertical="center"/>
    </xf>
    <xf numFmtId="164" fontId="1" fillId="14" borderId="4" xfId="0" applyNumberFormat="1" applyFont="1" applyFill="1" applyBorder="1" applyAlignment="1">
      <alignment vertical="center"/>
    </xf>
    <xf numFmtId="164" fontId="1" fillId="14" borderId="6" xfId="0" applyNumberFormat="1" applyFont="1" applyFill="1" applyBorder="1" applyAlignment="1">
      <alignment vertical="center"/>
    </xf>
    <xf numFmtId="14" fontId="1" fillId="14" borderId="4" xfId="0" applyNumberFormat="1" applyFont="1" applyFill="1" applyBorder="1" applyAlignment="1">
      <alignment vertical="center"/>
    </xf>
    <xf numFmtId="14" fontId="1" fillId="14" borderId="6" xfId="0" applyNumberFormat="1" applyFont="1" applyFill="1" applyBorder="1" applyAlignment="1">
      <alignment vertical="center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4"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  <dxf>
      <font>
        <b/>
        <color rgb="FFD71920"/>
      </font>
      <fill>
        <patternFill>
          <bgColor rgb="FFFDE8E8"/>
        </patternFill>
      </fill>
    </dxf>
    <dxf>
      <font>
        <b/>
        <color rgb="FF26863B"/>
      </font>
      <fill>
        <patternFill>
          <bgColor rgb="FFE6F4E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0000000}" name="CapacidadeCliente" displayName="CapacidadeCliente" ref="A6:K33" totalsRowShown="0">
  <tableColumns count="11">
    <tableColumn id="1" xr3:uid="{00000000-0010-0000-0000-000001000000}" name="ClientKey"/>
    <tableColumn id="2" xr3:uid="{00000000-0010-0000-0000-000002000000}" name="Cliente"/>
    <tableColumn id="3" xr3:uid="{00000000-0010-0000-0000-000003000000}" name="CapacidadeOficial"/>
    <tableColumn id="4" xr3:uid="{00000000-0010-0000-0000-000004000000}" name="CapacidadeSugerida"/>
    <tableColumn id="5" xr3:uid="{00000000-0010-0000-0000-000005000000}" name="VigenciaInicio"/>
    <tableColumn id="6" xr3:uid="{00000000-0010-0000-0000-000006000000}" name="VigenciaFim"/>
    <tableColumn id="7" xr3:uid="{00000000-0010-0000-0000-000007000000}" name="Ativo"/>
    <tableColumn id="8" xr3:uid="{00000000-0010-0000-0000-000008000000}" name="Metodo"/>
    <tableColumn id="9" xr3:uid="{00000000-0010-0000-0000-000009000000}" name="Observacao"/>
    <tableColumn id="10" xr3:uid="{00000000-0010-0000-0000-00000A000000}" name="StatusNET"/>
    <tableColumn id="11" xr3:uid="{00000000-0010-0000-0000-00000B000000}" name="Owner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rnadaCliente" displayName="JornadaCliente" ref="A6:J17" totalsRowShown="0">
  <tableColumns count="10">
    <tableColumn id="1" xr3:uid="{00000000-0010-0000-0100-000001000000}" name="ClientKey"/>
    <tableColumn id="2" xr3:uid="{00000000-0010-0000-0100-000002000000}" name="VigenciaInicio"/>
    <tableColumn id="3" xr3:uid="{00000000-0010-0000-0100-000003000000}" name="VigenciaFim"/>
    <tableColumn id="4" xr3:uid="{00000000-0010-0000-0100-000004000000}" name="InicioManha"/>
    <tableColumn id="5" xr3:uid="{00000000-0010-0000-0100-000005000000}" name="FimManha"/>
    <tableColumn id="6" xr3:uid="{00000000-0010-0000-0100-000006000000}" name="InicioTarde"/>
    <tableColumn id="7" xr3:uid="{00000000-0010-0000-0100-000007000000}" name="FimTarde"/>
    <tableColumn id="8" xr3:uid="{00000000-0010-0000-0100-000008000000}" name="FusoHorario"/>
    <tableColumn id="9" xr3:uid="{00000000-0010-0000-0100-000009000000}" name="Ativo"/>
    <tableColumn id="10" xr3:uid="{00000000-0010-0000-0100-00000A000000}" name="Observaca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lendarioOperacional" displayName="CalendarioOperacional" ref="A6:G46" totalsRowShown="0">
  <tableColumns count="7">
    <tableColumn id="1" xr3:uid="{00000000-0010-0000-0200-000001000000}" name="Data"/>
    <tableColumn id="2" xr3:uid="{00000000-0010-0000-0200-000002000000}" name="Nome"/>
    <tableColumn id="3" xr3:uid="{00000000-0010-0000-0200-000003000000}" name="Abrangencia"/>
    <tableColumn id="4" xr3:uid="{00000000-0010-0000-0200-000004000000}" name="ClientKey"/>
    <tableColumn id="5" xr3:uid="{00000000-0010-0000-0200-000005000000}" name="DiaUtil"/>
    <tableColumn id="6" xr3:uid="{00000000-0010-0000-0200-000006000000}" name="Ativo"/>
    <tableColumn id="7" xr3:uid="{00000000-0010-0000-0200-000007000000}" name="Fonte ou observacao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etasEtapas" displayName="MetasEtapas" ref="A6:I15" totalsRowShown="0">
  <tableColumns count="9">
    <tableColumn id="1" xr3:uid="{00000000-0010-0000-0300-000001000000}" name="ClientKey"/>
    <tableColumn id="2" xr3:uid="{00000000-0010-0000-0300-000002000000}" name="EtapaOrigem"/>
    <tableColumn id="3" xr3:uid="{00000000-0010-0000-0300-000003000000}" name="EtapaDestino"/>
    <tableColumn id="4" xr3:uid="{00000000-0010-0000-0300-000004000000}" name="MetaHorasUteis"/>
    <tableColumn id="5" xr3:uid="{00000000-0010-0000-0300-000005000000}" name="VigenciaInicio"/>
    <tableColumn id="6" xr3:uid="{00000000-0010-0000-0300-000006000000}" name="VigenciaFim"/>
    <tableColumn id="7" xr3:uid="{00000000-0010-0000-0300-000007000000}" name="Ativo"/>
    <tableColumn id="8" xr3:uid="{00000000-0010-0000-0300-000008000000}" name="Observacao"/>
    <tableColumn id="9" xr3:uid="{00000000-0010-0000-0300-000009000000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grasQualidade" displayName="RegrasQualidade" ref="A6:D10" totalsRowShown="0">
  <tableColumns count="4">
    <tableColumn id="1" xr3:uid="{00000000-0010-0000-0400-000001000000}" name="Parametro"/>
    <tableColumn id="2" xr3:uid="{00000000-0010-0000-0400-000002000000}" name="Valor"/>
    <tableColumn id="3" xr3:uid="{00000000-0010-0000-0400-000003000000}" name="Unidade"/>
    <tableColumn id="4" xr3:uid="{00000000-0010-0000-0400-000004000000}" name="Aplicaca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5000000}" name="RegrasGrossCliente" displayName="RegrasGrossCliente" ref="A6:Q60" totalsRowShown="0">
  <tableColumns count="17">
    <tableColumn id="1" xr3:uid="{00000000-0010-0000-0500-000001000000}" name="ClientKey"/>
    <tableColumn id="2" xr3:uid="{00000000-0010-0000-0500-000002000000}" name="RegraID"/>
    <tableColumn id="3" xr3:uid="{00000000-0010-0000-0500-000003000000}" name="EtapaInicial"/>
    <tableColumn id="4" xr3:uid="{00000000-0010-0000-0500-000004000000}" name="EtapaFinal"/>
    <tableColumn id="5" xr3:uid="{00000000-0010-0000-0500-000005000000}" name="HoraInicioExclusiva"/>
    <tableColumn id="6" xr3:uid="{00000000-0010-0000-0500-000006000000}" name="HoraFimInclusiva"/>
    <tableColumn id="7" xr3:uid="{00000000-0010-0000-0500-000007000000}" name="TipoPrazo"/>
    <tableColumn id="8" xr3:uid="{00000000-0010-0000-0500-000008000000}" name="DiasUteis"/>
    <tableColumn id="9" xr3:uid="{00000000-0010-0000-0500-000009000000}" name="HoraLimite"/>
    <tableColumn id="10" xr3:uid="{00000000-0010-0000-0500-00000A000000}" name="HorasUteis"/>
    <tableColumn id="11" xr3:uid="{00000000-0010-0000-0500-00000B000000}" name="ToleranciaMinutos"/>
    <tableColumn id="12" xr3:uid="{00000000-0010-0000-0500-00000C000000}" name="VigenciaInicio"/>
    <tableColumn id="13" xr3:uid="{00000000-0010-0000-0500-00000D000000}" name="VigenciaFim"/>
    <tableColumn id="14" xr3:uid="{00000000-0010-0000-0500-00000E000000}" name="Ativo"/>
    <tableColumn id="15" xr3:uid="{00000000-0010-0000-0500-00000F000000}" name="Observacao"/>
    <tableColumn id="16" xr3:uid="{00000000-0010-0000-0500-000010000000}" name="Status"/>
    <tableColumn id="17" xr3:uid="{00000000-0010-0000-0500-000011000000}" name="Owner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FontesOutbound" displayName="FontesOutbound" ref="A6:H32" totalsRowShown="0">
  <tableColumns count="8">
    <tableColumn id="1" xr3:uid="{00000000-0010-0000-0600-000001000000}" name="ClientKey"/>
    <tableColumn id="2" xr3:uid="{00000000-0010-0000-0600-000002000000}" name="ArquivoCSV"/>
    <tableColumn id="3" xr3:uid="{00000000-0010-0000-0600-000003000000}" name="DataCorte"/>
    <tableColumn id="4" xr3:uid="{00000000-0010-0000-0600-000004000000}" name="Ativo"/>
    <tableColumn id="5" xr3:uid="{00000000-0010-0000-0600-000005000000}" name="ClientAliasFonte"/>
    <tableColumn id="6" xr3:uid="{00000000-0010-0000-0600-000006000000}" name="OwnerObrigatorio"/>
    <tableColumn id="7" xr3:uid="{00000000-0010-0000-0600-000007000000}" name="Observacao"/>
    <tableColumn id="8" xr3:uid="{00000000-0010-0000-0600-000008000000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7000000}" name="OwnerAliases" displayName="OwnerAliases" ref="A6:F24" totalsRowShown="0">
  <tableColumns count="6">
    <tableColumn id="1" xr3:uid="{00000000-0010-0000-0700-000001000000}" name="ClientKey"/>
    <tableColumn id="2" xr3:uid="{00000000-0010-0000-0700-000002000000}" name="OwnerAlias"/>
    <tableColumn id="3" xr3:uid="{00000000-0010-0000-0700-000003000000}" name="OwnerKey"/>
    <tableColumn id="4" xr3:uid="{00000000-0010-0000-0700-000004000000}" name="OwnerName"/>
    <tableColumn id="5" xr3:uid="{00000000-0010-0000-0700-000005000000}" name="Ativo"/>
    <tableColumn id="6" xr3:uid="{00000000-0010-0000-0700-000006000000}" name="Observaca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8000000}" name="FontesInbound" displayName="FontesInbound" ref="A6:H32" totalsRowShown="0">
  <tableColumns count="8">
    <tableColumn id="1" xr3:uid="{00000000-0010-0000-0800-000001000000}" name="ClientKey"/>
    <tableColumn id="2" xr3:uid="{00000000-0010-0000-0800-000002000000}" name="ArquivoCSV"/>
    <tableColumn id="3" xr3:uid="{00000000-0010-0000-0800-000003000000}" name="DataCorte"/>
    <tableColumn id="4" xr3:uid="{00000000-0010-0000-0800-000004000000}" name="Ativo"/>
    <tableColumn id="5" xr3:uid="{00000000-0010-0000-0800-000005000000}" name="ClientAliasFonte"/>
    <tableColumn id="6" xr3:uid="{00000000-0010-0000-0800-000006000000}" name="OwnerObrigatorio"/>
    <tableColumn id="7" xr3:uid="{00000000-0010-0000-0800-000007000000}" name="Observacao"/>
    <tableColumn id="8" xr3:uid="{00000000-0010-0000-0800-000008000000}" name="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RegrasInbound" displayName="RegrasInbound" ref="A6:Q32" totalsRowShown="0">
  <tableColumns count="17">
    <tableColumn id="1" xr3:uid="{00000000-0010-0000-0900-000001000000}" name="ClientKey"/>
    <tableColumn id="2" xr3:uid="{00000000-0010-0000-0900-000002000000}" name="RegraID"/>
    <tableColumn id="3" xr3:uid="{00000000-0010-0000-0900-000003000000}" name="EtapaInicial"/>
    <tableColumn id="4" xr3:uid="{00000000-0010-0000-0900-000004000000}" name="EtapaFinal"/>
    <tableColumn id="5" xr3:uid="{00000000-0010-0000-0900-000005000000}" name="HoraInicioExclusiva"/>
    <tableColumn id="6" xr3:uid="{00000000-0010-0000-0900-000006000000}" name="HoraFimInclusiva"/>
    <tableColumn id="7" xr3:uid="{00000000-0010-0000-0900-000007000000}" name="TipoPrazo"/>
    <tableColumn id="8" xr3:uid="{00000000-0010-0000-0900-000008000000}" name="DiasUteis"/>
    <tableColumn id="9" xr3:uid="{00000000-0010-0000-0900-000009000000}" name="HoraLimite"/>
    <tableColumn id="10" xr3:uid="{00000000-0010-0000-0900-00000A000000}" name="HorasUteis"/>
    <tableColumn id="11" xr3:uid="{00000000-0010-0000-0900-00000B000000}" name="ToleranciaMinutos"/>
    <tableColumn id="12" xr3:uid="{00000000-0010-0000-0900-00000C000000}" name="VigenciaInicio"/>
    <tableColumn id="13" xr3:uid="{00000000-0010-0000-0900-00000D000000}" name="VigenciaFim"/>
    <tableColumn id="14" xr3:uid="{00000000-0010-0000-0900-00000E000000}" name="Ativo"/>
    <tableColumn id="15" xr3:uid="{00000000-0010-0000-0900-00000F000000}" name="Observacao"/>
    <tableColumn id="16" xr3:uid="{00000000-0010-0000-0900-000010000000}" name="Status"/>
    <tableColumn id="17" xr3:uid="{00000000-0010-0000-0900-000011000000}" name="OwnerKe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A000000}" name="CapacidadeInbound" displayName="CapacidadeInbound" ref="A6:K34" totalsRowShown="0">
  <tableColumns count="11">
    <tableColumn id="1" xr3:uid="{00000000-0010-0000-0A00-000001000000}" name="ClientKey"/>
    <tableColumn id="2" xr3:uid="{00000000-0010-0000-0A00-000002000000}" name="Cliente"/>
    <tableColumn id="3" xr3:uid="{00000000-0010-0000-0A00-000003000000}" name="CapacidadeOficial"/>
    <tableColumn id="4" xr3:uid="{00000000-0010-0000-0A00-000004000000}" name="CapacidadeSugerida"/>
    <tableColumn id="5" xr3:uid="{00000000-0010-0000-0A00-000005000000}" name="VigenciaInicio"/>
    <tableColumn id="6" xr3:uid="{00000000-0010-0000-0A00-000006000000}" name="VigenciaFim"/>
    <tableColumn id="7" xr3:uid="{00000000-0010-0000-0A00-000007000000}" name="Ativo"/>
    <tableColumn id="8" xr3:uid="{00000000-0010-0000-0A00-000008000000}" name="Metodo"/>
    <tableColumn id="9" xr3:uid="{00000000-0010-0000-0A00-000009000000}" name="Observacao"/>
    <tableColumn id="10" xr3:uid="{00000000-0010-0000-0A00-00000A000000}" name="StatusNET"/>
    <tableColumn id="11" xr3:uid="{00000000-0010-0000-0A00-00000B000000}" name="OwnerKe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B000000}" name="ProcessosOutbound" displayName="ProcessosOutbound" ref="A6:L8" totalsRowShown="0">
  <tableColumns count="12">
    <tableColumn id="1" xr3:uid="{00000000-0010-0000-0B00-000001000000}" name="ClientKey"/>
    <tableColumn id="2" xr3:uid="{00000000-0010-0000-0B00-000002000000}" name="OwnerKey"/>
    <tableColumn id="3" xr3:uid="{00000000-0010-0000-0B00-000003000000}" name="ProcessoKey"/>
    <tableColumn id="4" xr3:uid="{00000000-0010-0000-0B00-000004000000}" name="ProcessoNome"/>
    <tableColumn id="5" xr3:uid="{00000000-0010-0000-0B00-000005000000}" name="InicioOrigem"/>
    <tableColumn id="6" xr3:uid="{00000000-0010-0000-0B00-000006000000}" name="InicioDestino"/>
    <tableColumn id="7" xr3:uid="{00000000-0010-0000-0B00-000007000000}" name="FimOrigem"/>
    <tableColumn id="8" xr3:uid="{00000000-0010-0000-0B00-000008000000}" name="FimDestino"/>
    <tableColumn id="9" xr3:uid="{00000000-0010-0000-0B00-000009000000}" name="MetaHorasUteis"/>
    <tableColumn id="10" xr3:uid="{00000000-0010-0000-0B00-00000A000000}" name="VigenciaInicio"/>
    <tableColumn id="11" xr3:uid="{00000000-0010-0000-0B00-00000B000000}" name="VigenciaFim"/>
    <tableColumn id="12" xr3:uid="{00000000-0010-0000-0B00-00000C000000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664"/>
  </sheetPr>
  <dimension ref="A1:Z200"/>
  <sheetViews>
    <sheetView showGridLines="0" workbookViewId="0"/>
  </sheetViews>
  <sheetFormatPr defaultRowHeight="14.25"/>
  <cols>
    <col min="1" max="1" width="25" customWidth="1"/>
    <col min="2" max="2" width="92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0</v>
      </c>
      <c r="B2" s="107"/>
      <c r="C2" s="107"/>
      <c r="D2" s="107"/>
      <c r="E2" s="107"/>
      <c r="F2" s="107"/>
      <c r="G2" s="107"/>
      <c r="H2" s="10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</v>
      </c>
      <c r="B3" s="107"/>
      <c r="C3" s="107"/>
      <c r="D3" s="107"/>
      <c r="E3" s="107"/>
      <c r="F3" s="107"/>
      <c r="G3" s="107"/>
      <c r="H3" s="10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2</v>
      </c>
      <c r="B6" s="4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5">
        <v>1</v>
      </c>
      <c r="B7" s="8" t="s">
        <v>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6">
        <v>2</v>
      </c>
      <c r="B8" s="9" t="s">
        <v>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6">
        <v>3</v>
      </c>
      <c r="B9" s="9" t="s"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>
      <c r="A10" s="7">
        <v>4</v>
      </c>
      <c r="B10" s="10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>
      <c r="A11" s="1">
        <v>5</v>
      </c>
      <c r="B11" s="11" t="s">
        <v>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>
      <c r="A12" s="3" t="s">
        <v>9</v>
      </c>
      <c r="B12" s="4" t="s">
        <v>10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>
      <c r="A13" s="5" t="s">
        <v>11</v>
      </c>
      <c r="B13" s="8" t="s">
        <v>12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>
      <c r="A14" s="6" t="s">
        <v>13</v>
      </c>
      <c r="B14" s="9" t="s">
        <v>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>
      <c r="A15" s="6" t="s">
        <v>15</v>
      </c>
      <c r="B15" s="9" t="s">
        <v>16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>
      <c r="A16" s="6" t="s">
        <v>17</v>
      </c>
      <c r="B16" s="9" t="s">
        <v>18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6" t="s">
        <v>19</v>
      </c>
      <c r="B17" s="9" t="s">
        <v>20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6" t="s">
        <v>21</v>
      </c>
      <c r="B18" s="9" t="s">
        <v>22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>
      <c r="A19" s="6" t="s">
        <v>23</v>
      </c>
      <c r="B19" s="9" t="s">
        <v>24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>
      <c r="A20" s="6" t="s">
        <v>25</v>
      </c>
      <c r="B20" s="9" t="s">
        <v>26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>
      <c r="A21" s="7" t="s">
        <v>27</v>
      </c>
      <c r="B21" s="10" t="s">
        <v>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>
      <c r="A22" s="1"/>
      <c r="B22" s="1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>
      <c r="A23" s="3" t="s">
        <v>29</v>
      </c>
      <c r="B23" s="4" t="s">
        <v>30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>
      <c r="A24" s="5" t="s">
        <v>31</v>
      </c>
      <c r="B24" s="8" t="s">
        <v>32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>
      <c r="A25" s="6" t="s">
        <v>33</v>
      </c>
      <c r="B25" s="9" t="s">
        <v>34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>
      <c r="A26" s="7" t="s">
        <v>35</v>
      </c>
      <c r="B26" s="10" t="s">
        <v>36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 t="s">
        <v>37</v>
      </c>
      <c r="B27" s="1" t="s">
        <v>38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H2"/>
    <mergeCell ref="A3:H3"/>
  </mergeCells>
  <pageMargins left="0.7" right="0.7" top="0.75" bottom="0.75" header="0.3" footer="0.3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4B93"/>
  </sheetPr>
  <dimension ref="A1:Z200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4" width="20" customWidth="1"/>
    <col min="5" max="6" width="16" customWidth="1"/>
    <col min="7" max="7" width="10" customWidth="1"/>
    <col min="8" max="8" width="29" customWidth="1"/>
    <col min="9" max="9" width="34" customWidth="1"/>
    <col min="10" max="10" width="22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39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40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42</v>
      </c>
      <c r="C6" s="12" t="s">
        <v>43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48</v>
      </c>
      <c r="I6" s="12" t="s">
        <v>49</v>
      </c>
      <c r="J6" s="4" t="s">
        <v>50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52</v>
      </c>
      <c r="B7" s="5" t="s">
        <v>52</v>
      </c>
      <c r="C7" s="16"/>
      <c r="D7" s="17">
        <v>90</v>
      </c>
      <c r="E7" s="22">
        <v>45658</v>
      </c>
      <c r="F7" s="22"/>
      <c r="G7" s="13" t="s">
        <v>53</v>
      </c>
      <c r="H7" s="5" t="s">
        <v>54</v>
      </c>
      <c r="I7" s="13"/>
      <c r="J7" s="5" t="str">
        <f t="shared" ref="J7:J30" si="0">IF(OR(C7="",G7&lt;&gt;"Sim"),"NET não calculado","NET habilitado")</f>
        <v>NET não calculado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56</v>
      </c>
      <c r="B8" s="6" t="s">
        <v>56</v>
      </c>
      <c r="C8" s="18"/>
      <c r="D8" s="19">
        <v>105</v>
      </c>
      <c r="E8" s="23">
        <v>45658</v>
      </c>
      <c r="F8" s="23"/>
      <c r="G8" s="14" t="s">
        <v>53</v>
      </c>
      <c r="H8" s="6" t="s">
        <v>57</v>
      </c>
      <c r="I8" s="14"/>
      <c r="J8" s="6" t="str">
        <f t="shared" si="0"/>
        <v>NET não calculado</v>
      </c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58</v>
      </c>
      <c r="B9" s="6" t="s">
        <v>58</v>
      </c>
      <c r="C9" s="18"/>
      <c r="D9" s="19">
        <v>114</v>
      </c>
      <c r="E9" s="23">
        <v>45658</v>
      </c>
      <c r="F9" s="23"/>
      <c r="G9" s="14" t="s">
        <v>53</v>
      </c>
      <c r="H9" s="6" t="s">
        <v>59</v>
      </c>
      <c r="I9" s="14"/>
      <c r="J9" s="6" t="str">
        <f t="shared" si="0"/>
        <v>NET não calculado</v>
      </c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60</v>
      </c>
      <c r="B10" s="6" t="s">
        <v>60</v>
      </c>
      <c r="C10" s="18"/>
      <c r="D10" s="19">
        <v>2504</v>
      </c>
      <c r="E10" s="23">
        <v>45658</v>
      </c>
      <c r="F10" s="23"/>
      <c r="G10" s="14" t="s">
        <v>53</v>
      </c>
      <c r="H10" s="6" t="s">
        <v>61</v>
      </c>
      <c r="I10" s="14"/>
      <c r="J10" s="6" t="str">
        <f t="shared" si="0"/>
        <v>NET não calculado</v>
      </c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62</v>
      </c>
      <c r="B11" s="6" t="s">
        <v>62</v>
      </c>
      <c r="C11" s="18"/>
      <c r="D11" s="19">
        <v>4</v>
      </c>
      <c r="E11" s="23">
        <v>45658</v>
      </c>
      <c r="F11" s="23"/>
      <c r="G11" s="14" t="s">
        <v>53</v>
      </c>
      <c r="H11" s="6" t="s">
        <v>63</v>
      </c>
      <c r="I11" s="14"/>
      <c r="J11" s="6" t="str">
        <f t="shared" si="0"/>
        <v>NET não calculado</v>
      </c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64</v>
      </c>
      <c r="B12" s="6" t="s">
        <v>64</v>
      </c>
      <c r="C12" s="18"/>
      <c r="D12" s="19">
        <v>3</v>
      </c>
      <c r="E12" s="23">
        <v>45658</v>
      </c>
      <c r="F12" s="23"/>
      <c r="G12" s="14" t="s">
        <v>53</v>
      </c>
      <c r="H12" s="6" t="s">
        <v>65</v>
      </c>
      <c r="I12" s="14"/>
      <c r="J12" s="6" t="str">
        <f t="shared" si="0"/>
        <v>NET não calculado</v>
      </c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66</v>
      </c>
      <c r="B13" s="6" t="s">
        <v>66</v>
      </c>
      <c r="C13" s="18"/>
      <c r="D13" s="19">
        <v>3</v>
      </c>
      <c r="E13" s="23">
        <v>45658</v>
      </c>
      <c r="F13" s="23"/>
      <c r="G13" s="14" t="s">
        <v>53</v>
      </c>
      <c r="H13" s="6" t="s">
        <v>67</v>
      </c>
      <c r="I13" s="14"/>
      <c r="J13" s="6" t="str">
        <f t="shared" si="0"/>
        <v>NET não calculado</v>
      </c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68</v>
      </c>
      <c r="B14" s="6" t="s">
        <v>68</v>
      </c>
      <c r="C14" s="18">
        <v>53</v>
      </c>
      <c r="D14" s="19">
        <v>40</v>
      </c>
      <c r="E14" s="23">
        <v>45658</v>
      </c>
      <c r="F14" s="23"/>
      <c r="G14" s="14" t="s">
        <v>69</v>
      </c>
      <c r="H14" s="6" t="s">
        <v>70</v>
      </c>
      <c r="I14" s="14"/>
      <c r="J14" s="6" t="str">
        <f t="shared" si="0"/>
        <v>NET habilitado</v>
      </c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6" t="s">
        <v>71</v>
      </c>
      <c r="B15" s="6" t="s">
        <v>71</v>
      </c>
      <c r="C15" s="18"/>
      <c r="D15" s="19">
        <v>33</v>
      </c>
      <c r="E15" s="23">
        <v>45658</v>
      </c>
      <c r="F15" s="23"/>
      <c r="G15" s="14" t="s">
        <v>53</v>
      </c>
      <c r="H15" s="6" t="s">
        <v>72</v>
      </c>
      <c r="I15" s="14"/>
      <c r="J15" s="6" t="str">
        <f t="shared" si="0"/>
        <v>NET não calculado</v>
      </c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6" t="s">
        <v>73</v>
      </c>
      <c r="B16" s="6" t="s">
        <v>73</v>
      </c>
      <c r="C16" s="18"/>
      <c r="D16" s="19">
        <v>47</v>
      </c>
      <c r="E16" s="23">
        <v>45658</v>
      </c>
      <c r="F16" s="23"/>
      <c r="G16" s="14" t="s">
        <v>53</v>
      </c>
      <c r="H16" s="6" t="s">
        <v>65</v>
      </c>
      <c r="I16" s="14"/>
      <c r="J16" s="6" t="str">
        <f t="shared" si="0"/>
        <v>NET não calculado</v>
      </c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6" t="s">
        <v>74</v>
      </c>
      <c r="B17" s="6" t="s">
        <v>74</v>
      </c>
      <c r="C17" s="18">
        <v>200</v>
      </c>
      <c r="D17" s="19">
        <v>31</v>
      </c>
      <c r="E17" s="23">
        <v>45658</v>
      </c>
      <c r="F17" s="23"/>
      <c r="G17" s="14" t="s">
        <v>69</v>
      </c>
      <c r="H17" s="6" t="s">
        <v>75</v>
      </c>
      <c r="I17" s="14"/>
      <c r="J17" s="6" t="str">
        <f t="shared" si="0"/>
        <v>NET habilitado</v>
      </c>
      <c r="K17" s="53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3.1" customHeight="1">
      <c r="A18" s="6" t="s">
        <v>76</v>
      </c>
      <c r="B18" s="6" t="s">
        <v>76</v>
      </c>
      <c r="C18" s="18"/>
      <c r="D18" s="19"/>
      <c r="E18" s="23">
        <v>45658</v>
      </c>
      <c r="F18" s="23"/>
      <c r="G18" s="14" t="s">
        <v>53</v>
      </c>
      <c r="H18" s="6" t="s">
        <v>77</v>
      </c>
      <c r="I18" s="14"/>
      <c r="J18" s="6" t="str">
        <f t="shared" si="0"/>
        <v>NET não calculado</v>
      </c>
      <c r="K18" s="53" t="s">
        <v>55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3.1" customHeight="1">
      <c r="A19" s="6" t="s">
        <v>78</v>
      </c>
      <c r="B19" s="6" t="s">
        <v>78</v>
      </c>
      <c r="C19" s="18"/>
      <c r="D19" s="19">
        <v>468</v>
      </c>
      <c r="E19" s="23">
        <v>45658</v>
      </c>
      <c r="F19" s="23"/>
      <c r="G19" s="14" t="s">
        <v>53</v>
      </c>
      <c r="H19" s="6" t="s">
        <v>79</v>
      </c>
      <c r="I19" s="14"/>
      <c r="J19" s="6" t="str">
        <f t="shared" si="0"/>
        <v>NET não calculado</v>
      </c>
      <c r="K19" s="53" t="s">
        <v>55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3.1" customHeight="1">
      <c r="A20" s="6" t="s">
        <v>80</v>
      </c>
      <c r="B20" s="6" t="s">
        <v>80</v>
      </c>
      <c r="C20" s="18"/>
      <c r="D20" s="19">
        <v>40</v>
      </c>
      <c r="E20" s="23">
        <v>45658</v>
      </c>
      <c r="F20" s="23"/>
      <c r="G20" s="14" t="s">
        <v>53</v>
      </c>
      <c r="H20" s="6" t="s">
        <v>81</v>
      </c>
      <c r="I20" s="14"/>
      <c r="J20" s="6" t="str">
        <f t="shared" si="0"/>
        <v>NET não calculado</v>
      </c>
      <c r="K20" s="53" t="s">
        <v>55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3.1" customHeight="1">
      <c r="A21" s="6" t="s">
        <v>82</v>
      </c>
      <c r="B21" s="6" t="s">
        <v>82</v>
      </c>
      <c r="C21" s="18">
        <v>200</v>
      </c>
      <c r="D21" s="19">
        <v>251</v>
      </c>
      <c r="E21" s="23">
        <v>45658</v>
      </c>
      <c r="F21" s="23"/>
      <c r="G21" s="14" t="s">
        <v>69</v>
      </c>
      <c r="H21" s="6" t="s">
        <v>83</v>
      </c>
      <c r="I21" s="14"/>
      <c r="J21" s="6" t="str">
        <f t="shared" si="0"/>
        <v>NET habilitado</v>
      </c>
      <c r="K21" s="53" t="s">
        <v>55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3.1" customHeight="1">
      <c r="A22" s="6" t="s">
        <v>84</v>
      </c>
      <c r="B22" s="6" t="s">
        <v>84</v>
      </c>
      <c r="C22" s="18">
        <v>100</v>
      </c>
      <c r="D22" s="19">
        <v>100</v>
      </c>
      <c r="E22" s="23">
        <v>45658</v>
      </c>
      <c r="F22" s="23"/>
      <c r="G22" s="14" t="s">
        <v>69</v>
      </c>
      <c r="H22" s="6" t="s">
        <v>85</v>
      </c>
      <c r="I22" s="14"/>
      <c r="J22" s="6" t="str">
        <f t="shared" si="0"/>
        <v>NET habilitado</v>
      </c>
      <c r="K22" s="53" t="s">
        <v>55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3.1" customHeight="1">
      <c r="A23" s="6" t="s">
        <v>86</v>
      </c>
      <c r="B23" s="6" t="s">
        <v>86</v>
      </c>
      <c r="C23" s="18"/>
      <c r="D23" s="19">
        <v>15</v>
      </c>
      <c r="E23" s="23">
        <v>45658</v>
      </c>
      <c r="F23" s="23"/>
      <c r="G23" s="14" t="s">
        <v>53</v>
      </c>
      <c r="H23" s="6" t="s">
        <v>87</v>
      </c>
      <c r="I23" s="14"/>
      <c r="J23" s="6" t="str">
        <f t="shared" si="0"/>
        <v>NET não calculado</v>
      </c>
      <c r="K23" s="53" t="s">
        <v>55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3.1" customHeight="1">
      <c r="A24" s="6" t="s">
        <v>88</v>
      </c>
      <c r="B24" s="6" t="s">
        <v>88</v>
      </c>
      <c r="C24" s="18"/>
      <c r="D24" s="19">
        <v>8</v>
      </c>
      <c r="E24" s="23">
        <v>45658</v>
      </c>
      <c r="F24" s="23"/>
      <c r="G24" s="14" t="s">
        <v>53</v>
      </c>
      <c r="H24" s="6" t="s">
        <v>89</v>
      </c>
      <c r="I24" s="14"/>
      <c r="J24" s="6" t="str">
        <f t="shared" si="0"/>
        <v>NET não calculado</v>
      </c>
      <c r="K24" s="53" t="s">
        <v>55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3.1" customHeight="1">
      <c r="A25" s="6" t="s">
        <v>90</v>
      </c>
      <c r="B25" s="6" t="s">
        <v>90</v>
      </c>
      <c r="C25" s="18">
        <v>200</v>
      </c>
      <c r="D25" s="19">
        <v>491</v>
      </c>
      <c r="E25" s="23">
        <v>45658</v>
      </c>
      <c r="F25" s="23"/>
      <c r="G25" s="14" t="s">
        <v>69</v>
      </c>
      <c r="H25" s="6" t="s">
        <v>91</v>
      </c>
      <c r="I25" s="14"/>
      <c r="J25" s="6" t="str">
        <f t="shared" si="0"/>
        <v>NET habilitado</v>
      </c>
      <c r="K25" s="53" t="s">
        <v>55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3.1" customHeight="1">
      <c r="A26" s="6" t="s">
        <v>92</v>
      </c>
      <c r="B26" s="6" t="s">
        <v>92</v>
      </c>
      <c r="C26" s="18"/>
      <c r="D26" s="19">
        <v>12</v>
      </c>
      <c r="E26" s="23">
        <v>45658</v>
      </c>
      <c r="F26" s="23"/>
      <c r="G26" s="14" t="s">
        <v>53</v>
      </c>
      <c r="H26" s="6" t="s">
        <v>93</v>
      </c>
      <c r="I26" s="14"/>
      <c r="J26" s="6" t="str">
        <f t="shared" si="0"/>
        <v>NET não calculado</v>
      </c>
      <c r="K26" s="53" t="s">
        <v>55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3.1" customHeight="1">
      <c r="A27" s="6" t="s">
        <v>94</v>
      </c>
      <c r="B27" s="6" t="s">
        <v>94</v>
      </c>
      <c r="C27" s="18">
        <v>200</v>
      </c>
      <c r="D27" s="19">
        <v>148</v>
      </c>
      <c r="E27" s="23">
        <v>45658</v>
      </c>
      <c r="F27" s="23"/>
      <c r="G27" s="14" t="s">
        <v>69</v>
      </c>
      <c r="H27" s="6" t="s">
        <v>95</v>
      </c>
      <c r="I27" s="14"/>
      <c r="J27" s="6" t="str">
        <f t="shared" si="0"/>
        <v>NET habilitado</v>
      </c>
      <c r="K27" s="53" t="s">
        <v>55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3.1" customHeight="1">
      <c r="A28" s="6" t="s">
        <v>96</v>
      </c>
      <c r="B28" s="6" t="s">
        <v>96</v>
      </c>
      <c r="C28" s="18"/>
      <c r="D28" s="19">
        <v>14</v>
      </c>
      <c r="E28" s="23">
        <v>45658</v>
      </c>
      <c r="F28" s="23"/>
      <c r="G28" s="14" t="s">
        <v>53</v>
      </c>
      <c r="H28" s="6" t="s">
        <v>81</v>
      </c>
      <c r="I28" s="14"/>
      <c r="J28" s="6" t="str">
        <f t="shared" si="0"/>
        <v>NET não calculado</v>
      </c>
      <c r="K28" s="53" t="s">
        <v>55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3.1" customHeight="1">
      <c r="A29" s="7" t="s">
        <v>97</v>
      </c>
      <c r="B29" s="7" t="s">
        <v>97</v>
      </c>
      <c r="C29" s="20"/>
      <c r="D29" s="21">
        <v>13</v>
      </c>
      <c r="E29" s="24">
        <v>45658</v>
      </c>
      <c r="F29" s="24"/>
      <c r="G29" s="15" t="s">
        <v>53</v>
      </c>
      <c r="H29" s="7" t="s">
        <v>98</v>
      </c>
      <c r="I29" s="15"/>
      <c r="J29" s="7" t="str">
        <f t="shared" si="0"/>
        <v>NET não calculado</v>
      </c>
      <c r="K29" s="54" t="s">
        <v>55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3.1" customHeight="1">
      <c r="A30" s="58" t="s">
        <v>99</v>
      </c>
      <c r="B30" s="58" t="s">
        <v>99</v>
      </c>
      <c r="C30" s="59">
        <v>20</v>
      </c>
      <c r="D30" s="59">
        <v>9</v>
      </c>
      <c r="E30" s="60">
        <v>45658</v>
      </c>
      <c r="F30" s="60"/>
      <c r="G30" s="59" t="s">
        <v>69</v>
      </c>
      <c r="H30" s="59" t="s">
        <v>100</v>
      </c>
      <c r="I30" s="59" t="s">
        <v>101</v>
      </c>
      <c r="J30" s="7" t="str">
        <f t="shared" si="0"/>
        <v>NET habilitado</v>
      </c>
      <c r="K30" s="54" t="s">
        <v>55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 t="s">
        <v>102</v>
      </c>
      <c r="B31" s="1" t="s">
        <v>102</v>
      </c>
      <c r="C31" s="1"/>
      <c r="D31" s="1">
        <v>40</v>
      </c>
      <c r="E31" s="96">
        <v>45658</v>
      </c>
      <c r="F31" s="96"/>
      <c r="G31" s="1" t="s">
        <v>53</v>
      </c>
      <c r="H31" s="1" t="s">
        <v>103</v>
      </c>
      <c r="I31" s="1" t="s">
        <v>104</v>
      </c>
      <c r="J31" s="1" t="s">
        <v>105</v>
      </c>
      <c r="K31" s="1" t="s">
        <v>55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 t="s">
        <v>106</v>
      </c>
      <c r="B32" s="1" t="s">
        <v>106</v>
      </c>
      <c r="C32" s="1"/>
      <c r="D32" s="1">
        <v>2</v>
      </c>
      <c r="E32" s="96">
        <v>45658</v>
      </c>
      <c r="F32" s="96"/>
      <c r="G32" s="1" t="s">
        <v>53</v>
      </c>
      <c r="H32" s="1" t="s">
        <v>107</v>
      </c>
      <c r="I32" s="1" t="s">
        <v>104</v>
      </c>
      <c r="J32" s="1" t="s">
        <v>105</v>
      </c>
      <c r="K32" s="1" t="s">
        <v>55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 t="s">
        <v>108</v>
      </c>
      <c r="B33" s="1" t="s">
        <v>108</v>
      </c>
      <c r="C33" s="1"/>
      <c r="D33" s="1">
        <v>41</v>
      </c>
      <c r="E33" s="96">
        <v>45658</v>
      </c>
      <c r="F33" s="96"/>
      <c r="G33" s="1" t="s">
        <v>53</v>
      </c>
      <c r="H33" s="1" t="s">
        <v>109</v>
      </c>
      <c r="I33" s="1" t="s">
        <v>104</v>
      </c>
      <c r="J33" s="1" t="s">
        <v>105</v>
      </c>
      <c r="K33" s="1" t="s">
        <v>55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conditionalFormatting sqref="J7:J30">
    <cfRule type="containsText" dxfId="3" priority="1" operator="containsText" text="habilitado"/>
    <cfRule type="containsText" dxfId="2" priority="2" operator="containsText" text="não calculado"/>
  </conditionalFormatting>
  <dataValidations count="1">
    <dataValidation type="list" sqref="G7:G30" xr:uid="{00000000-0002-0000-01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E7CB1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3" width="16" customWidth="1"/>
    <col min="4" max="7" width="14" customWidth="1"/>
    <col min="8" max="8" width="22" customWidth="1"/>
    <col min="9" max="9" width="10" customWidth="1"/>
    <col min="10" max="10" width="35" customWidth="1"/>
    <col min="11" max="11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110</v>
      </c>
      <c r="B2" s="107"/>
      <c r="C2" s="107"/>
      <c r="D2" s="107"/>
      <c r="E2" s="107"/>
      <c r="F2" s="107"/>
      <c r="G2" s="107"/>
      <c r="H2" s="107"/>
      <c r="I2" s="107"/>
      <c r="J2" s="107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111</v>
      </c>
      <c r="B3" s="107"/>
      <c r="C3" s="107"/>
      <c r="D3" s="107"/>
      <c r="E3" s="107"/>
      <c r="F3" s="107"/>
      <c r="G3" s="107"/>
      <c r="H3" s="107"/>
      <c r="I3" s="107"/>
      <c r="J3" s="107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45</v>
      </c>
      <c r="C6" s="12" t="s">
        <v>46</v>
      </c>
      <c r="D6" s="12" t="s">
        <v>112</v>
      </c>
      <c r="E6" s="12" t="s">
        <v>113</v>
      </c>
      <c r="F6" s="12" t="s">
        <v>114</v>
      </c>
      <c r="G6" s="12" t="s">
        <v>115</v>
      </c>
      <c r="H6" s="12" t="s">
        <v>116</v>
      </c>
      <c r="I6" s="12" t="s">
        <v>47</v>
      </c>
      <c r="J6" s="4" t="s">
        <v>49</v>
      </c>
      <c r="K6" s="51" t="s">
        <v>51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25">
        <v>45658</v>
      </c>
      <c r="C7" s="25"/>
      <c r="D7" s="32">
        <v>0.33333333333333331</v>
      </c>
      <c r="E7" s="32">
        <v>0.5</v>
      </c>
      <c r="F7" s="32">
        <v>0.54166666666666663</v>
      </c>
      <c r="G7" s="32">
        <v>0.70833333333333337</v>
      </c>
      <c r="H7" s="5" t="s">
        <v>117</v>
      </c>
      <c r="I7" s="5" t="s">
        <v>69</v>
      </c>
      <c r="J7" s="5" t="s">
        <v>118</v>
      </c>
      <c r="K7" s="52" t="s">
        <v>55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4"/>
      <c r="B8" s="23"/>
      <c r="C8" s="23"/>
      <c r="D8" s="14"/>
      <c r="E8" s="14"/>
      <c r="F8" s="14"/>
      <c r="G8" s="14"/>
      <c r="H8" s="6" t="s">
        <v>117</v>
      </c>
      <c r="I8" s="14" t="s">
        <v>53</v>
      </c>
      <c r="J8" s="14"/>
      <c r="K8" s="53" t="s">
        <v>55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14"/>
      <c r="B9" s="23"/>
      <c r="C9" s="23"/>
      <c r="D9" s="14"/>
      <c r="E9" s="14"/>
      <c r="F9" s="14"/>
      <c r="G9" s="14"/>
      <c r="H9" s="6" t="s">
        <v>117</v>
      </c>
      <c r="I9" s="14" t="s">
        <v>53</v>
      </c>
      <c r="J9" s="14"/>
      <c r="K9" s="53" t="s">
        <v>55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14"/>
      <c r="B10" s="23"/>
      <c r="C10" s="23"/>
      <c r="D10" s="14"/>
      <c r="E10" s="14"/>
      <c r="F10" s="14"/>
      <c r="G10" s="14"/>
      <c r="H10" s="6" t="s">
        <v>117</v>
      </c>
      <c r="I10" s="14" t="s">
        <v>53</v>
      </c>
      <c r="J10" s="14"/>
      <c r="K10" s="53" t="s">
        <v>55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14"/>
      <c r="B11" s="23"/>
      <c r="C11" s="23"/>
      <c r="D11" s="14"/>
      <c r="E11" s="14"/>
      <c r="F11" s="14"/>
      <c r="G11" s="14"/>
      <c r="H11" s="6" t="s">
        <v>117</v>
      </c>
      <c r="I11" s="14" t="s">
        <v>53</v>
      </c>
      <c r="J11" s="14"/>
      <c r="K11" s="53" t="s">
        <v>55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14"/>
      <c r="B12" s="23"/>
      <c r="C12" s="23"/>
      <c r="D12" s="14"/>
      <c r="E12" s="14"/>
      <c r="F12" s="14"/>
      <c r="G12" s="14"/>
      <c r="H12" s="6" t="s">
        <v>117</v>
      </c>
      <c r="I12" s="14" t="s">
        <v>53</v>
      </c>
      <c r="J12" s="14"/>
      <c r="K12" s="53" t="s">
        <v>55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14"/>
      <c r="B13" s="23"/>
      <c r="C13" s="23"/>
      <c r="D13" s="14"/>
      <c r="E13" s="14"/>
      <c r="F13" s="14"/>
      <c r="G13" s="14"/>
      <c r="H13" s="6" t="s">
        <v>117</v>
      </c>
      <c r="I13" s="14" t="s">
        <v>53</v>
      </c>
      <c r="J13" s="14"/>
      <c r="K13" s="53" t="s">
        <v>55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14"/>
      <c r="B14" s="23"/>
      <c r="C14" s="23"/>
      <c r="D14" s="14"/>
      <c r="E14" s="14"/>
      <c r="F14" s="14"/>
      <c r="G14" s="14"/>
      <c r="H14" s="6" t="s">
        <v>117</v>
      </c>
      <c r="I14" s="14" t="s">
        <v>53</v>
      </c>
      <c r="J14" s="14"/>
      <c r="K14" s="53" t="s">
        <v>55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14"/>
      <c r="B15" s="23"/>
      <c r="C15" s="23"/>
      <c r="D15" s="14"/>
      <c r="E15" s="14"/>
      <c r="F15" s="14"/>
      <c r="G15" s="14"/>
      <c r="H15" s="6" t="s">
        <v>117</v>
      </c>
      <c r="I15" s="14" t="s">
        <v>53</v>
      </c>
      <c r="J15" s="14"/>
      <c r="K15" s="53" t="s">
        <v>55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1" customHeight="1">
      <c r="A16" s="14"/>
      <c r="B16" s="23"/>
      <c r="C16" s="23"/>
      <c r="D16" s="14"/>
      <c r="E16" s="14"/>
      <c r="F16" s="14"/>
      <c r="G16" s="14"/>
      <c r="H16" s="6" t="s">
        <v>117</v>
      </c>
      <c r="I16" s="14" t="s">
        <v>53</v>
      </c>
      <c r="J16" s="14"/>
      <c r="K16" s="53" t="s">
        <v>55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3.1" customHeight="1">
      <c r="A17" s="15"/>
      <c r="B17" s="24"/>
      <c r="C17" s="24"/>
      <c r="D17" s="15"/>
      <c r="E17" s="15"/>
      <c r="F17" s="15"/>
      <c r="G17" s="15"/>
      <c r="H17" s="7" t="s">
        <v>117</v>
      </c>
      <c r="I17" s="15" t="s">
        <v>53</v>
      </c>
      <c r="J17" s="15"/>
      <c r="K17" s="54" t="s">
        <v>55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J2"/>
    <mergeCell ref="A3:J3"/>
  </mergeCells>
  <dataValidations count="1">
    <dataValidation type="list" sqref="I7:I17" xr:uid="{00000000-0002-0000-02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B8E23"/>
  </sheetPr>
  <dimension ref="A1:Z200"/>
  <sheetViews>
    <sheetView showGridLines="0" workbookViewId="0">
      <pane ySplit="6" topLeftCell="A7" activePane="bottomLeft" state="frozen"/>
      <selection pane="bottomLeft"/>
    </sheetView>
  </sheetViews>
  <sheetFormatPr defaultRowHeight="14.25"/>
  <cols>
    <col min="1" max="1" width="15" customWidth="1"/>
    <col min="2" max="2" width="42" customWidth="1"/>
    <col min="3" max="3" width="16" customWidth="1"/>
    <col min="4" max="4" width="15" customWidth="1"/>
    <col min="5" max="6" width="11" customWidth="1"/>
    <col min="7" max="7" width="3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119</v>
      </c>
      <c r="B2" s="107"/>
      <c r="C2" s="107"/>
      <c r="D2" s="107"/>
      <c r="E2" s="107"/>
      <c r="F2" s="107"/>
      <c r="G2" s="10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120</v>
      </c>
      <c r="B3" s="107"/>
      <c r="C3" s="107"/>
      <c r="D3" s="107"/>
      <c r="E3" s="107"/>
      <c r="F3" s="107"/>
      <c r="G3" s="10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121</v>
      </c>
      <c r="B6" s="12" t="s">
        <v>122</v>
      </c>
      <c r="C6" s="12" t="s">
        <v>123</v>
      </c>
      <c r="D6" s="12" t="s">
        <v>41</v>
      </c>
      <c r="E6" s="12" t="s">
        <v>124</v>
      </c>
      <c r="F6" s="12" t="s">
        <v>47</v>
      </c>
      <c r="G6" s="4" t="s">
        <v>125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25">
        <v>45658</v>
      </c>
      <c r="B7" s="5" t="s">
        <v>126</v>
      </c>
      <c r="C7" s="5" t="s">
        <v>127</v>
      </c>
      <c r="D7" s="5" t="s">
        <v>55</v>
      </c>
      <c r="E7" s="5" t="s">
        <v>53</v>
      </c>
      <c r="F7" s="5" t="s">
        <v>69</v>
      </c>
      <c r="G7" s="5" t="s">
        <v>128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26">
        <v>45677</v>
      </c>
      <c r="B8" s="6" t="s">
        <v>129</v>
      </c>
      <c r="C8" s="6" t="s">
        <v>130</v>
      </c>
      <c r="D8" s="6" t="s">
        <v>55</v>
      </c>
      <c r="E8" s="6" t="s">
        <v>53</v>
      </c>
      <c r="F8" s="6" t="s">
        <v>69</v>
      </c>
      <c r="G8" s="6" t="s">
        <v>131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26">
        <v>45706</v>
      </c>
      <c r="B9" s="6" t="s">
        <v>132</v>
      </c>
      <c r="C9" s="6" t="s">
        <v>130</v>
      </c>
      <c r="D9" s="6" t="s">
        <v>55</v>
      </c>
      <c r="E9" s="6" t="s">
        <v>53</v>
      </c>
      <c r="F9" s="6" t="s">
        <v>69</v>
      </c>
      <c r="G9" s="6" t="s">
        <v>131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26">
        <v>45765</v>
      </c>
      <c r="B10" s="6" t="s">
        <v>133</v>
      </c>
      <c r="C10" s="6" t="s">
        <v>130</v>
      </c>
      <c r="D10" s="6" t="s">
        <v>55</v>
      </c>
      <c r="E10" s="6" t="s">
        <v>53</v>
      </c>
      <c r="F10" s="6" t="s">
        <v>69</v>
      </c>
      <c r="G10" s="6" t="s">
        <v>131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1.95" customHeight="1">
      <c r="A11" s="26">
        <v>45768</v>
      </c>
      <c r="B11" s="6" t="s">
        <v>134</v>
      </c>
      <c r="C11" s="6" t="s">
        <v>127</v>
      </c>
      <c r="D11" s="6" t="s">
        <v>55</v>
      </c>
      <c r="E11" s="6" t="s">
        <v>53</v>
      </c>
      <c r="F11" s="6" t="s">
        <v>69</v>
      </c>
      <c r="G11" s="6" t="s">
        <v>128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95" customHeight="1">
      <c r="A12" s="26">
        <v>45778</v>
      </c>
      <c r="B12" s="6" t="s">
        <v>135</v>
      </c>
      <c r="C12" s="6" t="s">
        <v>127</v>
      </c>
      <c r="D12" s="6" t="s">
        <v>55</v>
      </c>
      <c r="E12" s="6" t="s">
        <v>53</v>
      </c>
      <c r="F12" s="6" t="s">
        <v>69</v>
      </c>
      <c r="G12" s="6" t="s">
        <v>128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1.95" customHeight="1">
      <c r="A13" s="26">
        <v>45827</v>
      </c>
      <c r="B13" s="6" t="s">
        <v>136</v>
      </c>
      <c r="C13" s="6" t="s">
        <v>130</v>
      </c>
      <c r="D13" s="6" t="s">
        <v>55</v>
      </c>
      <c r="E13" s="6" t="s">
        <v>53</v>
      </c>
      <c r="F13" s="6" t="s">
        <v>69</v>
      </c>
      <c r="G13" s="6" t="s">
        <v>131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1.95" customHeight="1">
      <c r="A14" s="26">
        <v>45847</v>
      </c>
      <c r="B14" s="6" t="s">
        <v>137</v>
      </c>
      <c r="C14" s="6" t="s">
        <v>138</v>
      </c>
      <c r="D14" s="6" t="s">
        <v>55</v>
      </c>
      <c r="E14" s="6" t="s">
        <v>53</v>
      </c>
      <c r="F14" s="6" t="s">
        <v>69</v>
      </c>
      <c r="G14" s="6" t="s">
        <v>139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1.95" customHeight="1">
      <c r="A15" s="26">
        <v>45907</v>
      </c>
      <c r="B15" s="6" t="s">
        <v>140</v>
      </c>
      <c r="C15" s="6" t="s">
        <v>127</v>
      </c>
      <c r="D15" s="6" t="s">
        <v>55</v>
      </c>
      <c r="E15" s="6" t="s">
        <v>53</v>
      </c>
      <c r="F15" s="6" t="s">
        <v>69</v>
      </c>
      <c r="G15" s="6" t="s">
        <v>128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1.95" customHeight="1">
      <c r="A16" s="26">
        <v>45942</v>
      </c>
      <c r="B16" s="6" t="s">
        <v>141</v>
      </c>
      <c r="C16" s="6" t="s">
        <v>127</v>
      </c>
      <c r="D16" s="6" t="s">
        <v>55</v>
      </c>
      <c r="E16" s="6" t="s">
        <v>53</v>
      </c>
      <c r="F16" s="6" t="s">
        <v>69</v>
      </c>
      <c r="G16" s="6" t="s">
        <v>128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1.95" customHeight="1">
      <c r="A17" s="26">
        <v>45963</v>
      </c>
      <c r="B17" s="6" t="s">
        <v>142</v>
      </c>
      <c r="C17" s="6" t="s">
        <v>127</v>
      </c>
      <c r="D17" s="6" t="s">
        <v>55</v>
      </c>
      <c r="E17" s="6" t="s">
        <v>53</v>
      </c>
      <c r="F17" s="6" t="s">
        <v>69</v>
      </c>
      <c r="G17" s="6" t="s">
        <v>128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1.95" customHeight="1">
      <c r="A18" s="26">
        <v>45976</v>
      </c>
      <c r="B18" s="6" t="s">
        <v>143</v>
      </c>
      <c r="C18" s="6" t="s">
        <v>127</v>
      </c>
      <c r="D18" s="6" t="s">
        <v>55</v>
      </c>
      <c r="E18" s="6" t="s">
        <v>53</v>
      </c>
      <c r="F18" s="6" t="s">
        <v>69</v>
      </c>
      <c r="G18" s="6" t="s">
        <v>128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1.95" customHeight="1">
      <c r="A19" s="26">
        <v>45981</v>
      </c>
      <c r="B19" s="6" t="s">
        <v>144</v>
      </c>
      <c r="C19" s="6" t="s">
        <v>127</v>
      </c>
      <c r="D19" s="6" t="s">
        <v>55</v>
      </c>
      <c r="E19" s="6" t="s">
        <v>53</v>
      </c>
      <c r="F19" s="6" t="s">
        <v>69</v>
      </c>
      <c r="G19" s="6" t="s">
        <v>128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.95" customHeight="1">
      <c r="A20" s="26">
        <v>46016</v>
      </c>
      <c r="B20" s="6" t="s">
        <v>145</v>
      </c>
      <c r="C20" s="6" t="s">
        <v>127</v>
      </c>
      <c r="D20" s="6" t="s">
        <v>55</v>
      </c>
      <c r="E20" s="6" t="s">
        <v>53</v>
      </c>
      <c r="F20" s="6" t="s">
        <v>69</v>
      </c>
      <c r="G20" s="6" t="s">
        <v>128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1.95" customHeight="1">
      <c r="A21" s="26">
        <v>46023</v>
      </c>
      <c r="B21" s="6" t="s">
        <v>126</v>
      </c>
      <c r="C21" s="6" t="s">
        <v>127</v>
      </c>
      <c r="D21" s="6" t="s">
        <v>55</v>
      </c>
      <c r="E21" s="6" t="s">
        <v>53</v>
      </c>
      <c r="F21" s="6" t="s">
        <v>69</v>
      </c>
      <c r="G21" s="6" t="s">
        <v>128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1.95" customHeight="1">
      <c r="A22" s="26">
        <v>46042</v>
      </c>
      <c r="B22" s="6" t="s">
        <v>129</v>
      </c>
      <c r="C22" s="6" t="s">
        <v>130</v>
      </c>
      <c r="D22" s="6" t="s">
        <v>55</v>
      </c>
      <c r="E22" s="6" t="s">
        <v>53</v>
      </c>
      <c r="F22" s="6" t="s">
        <v>69</v>
      </c>
      <c r="G22" s="6" t="s">
        <v>131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1.95" customHeight="1">
      <c r="A23" s="26">
        <v>46071</v>
      </c>
      <c r="B23" s="6" t="s">
        <v>132</v>
      </c>
      <c r="C23" s="6" t="s">
        <v>130</v>
      </c>
      <c r="D23" s="6" t="s">
        <v>55</v>
      </c>
      <c r="E23" s="6" t="s">
        <v>53</v>
      </c>
      <c r="F23" s="6" t="s">
        <v>69</v>
      </c>
      <c r="G23" s="6" t="s">
        <v>131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1.95" customHeight="1">
      <c r="A24" s="26">
        <v>46115</v>
      </c>
      <c r="B24" s="6" t="s">
        <v>133</v>
      </c>
      <c r="C24" s="6" t="s">
        <v>130</v>
      </c>
      <c r="D24" s="6" t="s">
        <v>55</v>
      </c>
      <c r="E24" s="6" t="s">
        <v>53</v>
      </c>
      <c r="F24" s="6" t="s">
        <v>69</v>
      </c>
      <c r="G24" s="6" t="s">
        <v>131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1.95" customHeight="1">
      <c r="A25" s="26">
        <v>46133</v>
      </c>
      <c r="B25" s="6" t="s">
        <v>134</v>
      </c>
      <c r="C25" s="6" t="s">
        <v>127</v>
      </c>
      <c r="D25" s="6" t="s">
        <v>55</v>
      </c>
      <c r="E25" s="6" t="s">
        <v>53</v>
      </c>
      <c r="F25" s="6" t="s">
        <v>69</v>
      </c>
      <c r="G25" s="6" t="s">
        <v>128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1.95" customHeight="1">
      <c r="A26" s="26">
        <v>46143</v>
      </c>
      <c r="B26" s="6" t="s">
        <v>135</v>
      </c>
      <c r="C26" s="6" t="s">
        <v>127</v>
      </c>
      <c r="D26" s="6" t="s">
        <v>55</v>
      </c>
      <c r="E26" s="6" t="s">
        <v>53</v>
      </c>
      <c r="F26" s="6" t="s">
        <v>69</v>
      </c>
      <c r="G26" s="6" t="s">
        <v>128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1.95" customHeight="1">
      <c r="A27" s="26">
        <v>46177</v>
      </c>
      <c r="B27" s="6" t="s">
        <v>136</v>
      </c>
      <c r="C27" s="6" t="s">
        <v>130</v>
      </c>
      <c r="D27" s="6" t="s">
        <v>55</v>
      </c>
      <c r="E27" s="6" t="s">
        <v>53</v>
      </c>
      <c r="F27" s="6" t="s">
        <v>69</v>
      </c>
      <c r="G27" s="6" t="s">
        <v>131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.95" customHeight="1">
      <c r="A28" s="26">
        <v>46212</v>
      </c>
      <c r="B28" s="6" t="s">
        <v>137</v>
      </c>
      <c r="C28" s="6" t="s">
        <v>138</v>
      </c>
      <c r="D28" s="6" t="s">
        <v>55</v>
      </c>
      <c r="E28" s="6" t="s">
        <v>53</v>
      </c>
      <c r="F28" s="6" t="s">
        <v>69</v>
      </c>
      <c r="G28" s="6" t="s">
        <v>139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1.95" customHeight="1">
      <c r="A29" s="26">
        <v>46272</v>
      </c>
      <c r="B29" s="6" t="s">
        <v>140</v>
      </c>
      <c r="C29" s="6" t="s">
        <v>127</v>
      </c>
      <c r="D29" s="6" t="s">
        <v>55</v>
      </c>
      <c r="E29" s="6" t="s">
        <v>53</v>
      </c>
      <c r="F29" s="6" t="s">
        <v>69</v>
      </c>
      <c r="G29" s="6" t="s">
        <v>128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1.95" customHeight="1">
      <c r="A30" s="26">
        <v>46307</v>
      </c>
      <c r="B30" s="6" t="s">
        <v>141</v>
      </c>
      <c r="C30" s="6" t="s">
        <v>127</v>
      </c>
      <c r="D30" s="6" t="s">
        <v>55</v>
      </c>
      <c r="E30" s="6" t="s">
        <v>53</v>
      </c>
      <c r="F30" s="6" t="s">
        <v>69</v>
      </c>
      <c r="G30" s="6" t="s">
        <v>128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1.95" customHeight="1">
      <c r="A31" s="26">
        <v>46328</v>
      </c>
      <c r="B31" s="6" t="s">
        <v>142</v>
      </c>
      <c r="C31" s="6" t="s">
        <v>127</v>
      </c>
      <c r="D31" s="6" t="s">
        <v>55</v>
      </c>
      <c r="E31" s="6" t="s">
        <v>53</v>
      </c>
      <c r="F31" s="6" t="s">
        <v>69</v>
      </c>
      <c r="G31" s="6" t="s">
        <v>128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1.95" customHeight="1">
      <c r="A32" s="26">
        <v>46341</v>
      </c>
      <c r="B32" s="6" t="s">
        <v>143</v>
      </c>
      <c r="C32" s="6" t="s">
        <v>127</v>
      </c>
      <c r="D32" s="6" t="s">
        <v>55</v>
      </c>
      <c r="E32" s="6" t="s">
        <v>53</v>
      </c>
      <c r="F32" s="6" t="s">
        <v>69</v>
      </c>
      <c r="G32" s="6" t="s">
        <v>128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1.95" customHeight="1">
      <c r="A33" s="26">
        <v>46346</v>
      </c>
      <c r="B33" s="6" t="s">
        <v>144</v>
      </c>
      <c r="C33" s="6" t="s">
        <v>127</v>
      </c>
      <c r="D33" s="6" t="s">
        <v>55</v>
      </c>
      <c r="E33" s="6" t="s">
        <v>53</v>
      </c>
      <c r="F33" s="6" t="s">
        <v>69</v>
      </c>
      <c r="G33" s="6" t="s">
        <v>128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1.95" customHeight="1">
      <c r="A34" s="26">
        <v>46381</v>
      </c>
      <c r="B34" s="6" t="s">
        <v>145</v>
      </c>
      <c r="C34" s="6" t="s">
        <v>127</v>
      </c>
      <c r="D34" s="6" t="s">
        <v>55</v>
      </c>
      <c r="E34" s="6" t="s">
        <v>53</v>
      </c>
      <c r="F34" s="6" t="s">
        <v>69</v>
      </c>
      <c r="G34" s="6" t="s">
        <v>128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1.95" customHeight="1">
      <c r="A35" s="23"/>
      <c r="B35" s="14" t="s">
        <v>146</v>
      </c>
      <c r="C35" s="14" t="s">
        <v>147</v>
      </c>
      <c r="D35" s="14" t="s">
        <v>55</v>
      </c>
      <c r="E35" s="14" t="s">
        <v>53</v>
      </c>
      <c r="F35" s="14" t="s">
        <v>53</v>
      </c>
      <c r="G35" s="14" t="s">
        <v>148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1.95" customHeight="1">
      <c r="A36" s="23"/>
      <c r="B36" s="14" t="s">
        <v>146</v>
      </c>
      <c r="C36" s="14" t="s">
        <v>147</v>
      </c>
      <c r="D36" s="14" t="s">
        <v>55</v>
      </c>
      <c r="E36" s="14" t="s">
        <v>53</v>
      </c>
      <c r="F36" s="14" t="s">
        <v>53</v>
      </c>
      <c r="G36" s="14" t="s">
        <v>148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1.95" customHeight="1">
      <c r="A37" s="23"/>
      <c r="B37" s="14" t="s">
        <v>146</v>
      </c>
      <c r="C37" s="14" t="s">
        <v>147</v>
      </c>
      <c r="D37" s="14" t="s">
        <v>55</v>
      </c>
      <c r="E37" s="14" t="s">
        <v>53</v>
      </c>
      <c r="F37" s="14" t="s">
        <v>53</v>
      </c>
      <c r="G37" s="14" t="s">
        <v>148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1.95" customHeight="1">
      <c r="A38" s="23"/>
      <c r="B38" s="14" t="s">
        <v>146</v>
      </c>
      <c r="C38" s="14" t="s">
        <v>147</v>
      </c>
      <c r="D38" s="14" t="s">
        <v>55</v>
      </c>
      <c r="E38" s="14" t="s">
        <v>53</v>
      </c>
      <c r="F38" s="14" t="s">
        <v>53</v>
      </c>
      <c r="G38" s="14" t="s">
        <v>148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1.95" customHeight="1">
      <c r="A39" s="23"/>
      <c r="B39" s="14" t="s">
        <v>146</v>
      </c>
      <c r="C39" s="14" t="s">
        <v>147</v>
      </c>
      <c r="D39" s="14" t="s">
        <v>55</v>
      </c>
      <c r="E39" s="14" t="s">
        <v>53</v>
      </c>
      <c r="F39" s="14" t="s">
        <v>53</v>
      </c>
      <c r="G39" s="14" t="s">
        <v>148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1.95" customHeight="1">
      <c r="A40" s="23"/>
      <c r="B40" s="14" t="s">
        <v>146</v>
      </c>
      <c r="C40" s="14" t="s">
        <v>147</v>
      </c>
      <c r="D40" s="14" t="s">
        <v>55</v>
      </c>
      <c r="E40" s="14" t="s">
        <v>53</v>
      </c>
      <c r="F40" s="14" t="s">
        <v>53</v>
      </c>
      <c r="G40" s="14" t="s">
        <v>148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1.95" customHeight="1">
      <c r="A41" s="23"/>
      <c r="B41" s="14" t="s">
        <v>146</v>
      </c>
      <c r="C41" s="14" t="s">
        <v>147</v>
      </c>
      <c r="D41" s="14" t="s">
        <v>55</v>
      </c>
      <c r="E41" s="14" t="s">
        <v>53</v>
      </c>
      <c r="F41" s="14" t="s">
        <v>53</v>
      </c>
      <c r="G41" s="14" t="s">
        <v>148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1.95" customHeight="1">
      <c r="A42" s="23"/>
      <c r="B42" s="14" t="s">
        <v>146</v>
      </c>
      <c r="C42" s="14" t="s">
        <v>147</v>
      </c>
      <c r="D42" s="14" t="s">
        <v>55</v>
      </c>
      <c r="E42" s="14" t="s">
        <v>53</v>
      </c>
      <c r="F42" s="14" t="s">
        <v>53</v>
      </c>
      <c r="G42" s="14" t="s">
        <v>148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1.95" customHeight="1">
      <c r="A43" s="23"/>
      <c r="B43" s="14" t="s">
        <v>146</v>
      </c>
      <c r="C43" s="14" t="s">
        <v>147</v>
      </c>
      <c r="D43" s="14" t="s">
        <v>55</v>
      </c>
      <c r="E43" s="14" t="s">
        <v>53</v>
      </c>
      <c r="F43" s="14" t="s">
        <v>53</v>
      </c>
      <c r="G43" s="14" t="s">
        <v>148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1.95" customHeight="1">
      <c r="A44" s="23"/>
      <c r="B44" s="14" t="s">
        <v>146</v>
      </c>
      <c r="C44" s="14" t="s">
        <v>147</v>
      </c>
      <c r="D44" s="14" t="s">
        <v>55</v>
      </c>
      <c r="E44" s="14" t="s">
        <v>53</v>
      </c>
      <c r="F44" s="14" t="s">
        <v>53</v>
      </c>
      <c r="G44" s="14" t="s">
        <v>148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1.95" customHeight="1">
      <c r="A45" s="23"/>
      <c r="B45" s="14" t="s">
        <v>146</v>
      </c>
      <c r="C45" s="14" t="s">
        <v>147</v>
      </c>
      <c r="D45" s="14" t="s">
        <v>55</v>
      </c>
      <c r="E45" s="14" t="s">
        <v>53</v>
      </c>
      <c r="F45" s="14" t="s">
        <v>53</v>
      </c>
      <c r="G45" s="14" t="s">
        <v>148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1.95" customHeight="1">
      <c r="A46" s="24"/>
      <c r="B46" s="15" t="s">
        <v>146</v>
      </c>
      <c r="C46" s="15" t="s">
        <v>147</v>
      </c>
      <c r="D46" s="15" t="s">
        <v>55</v>
      </c>
      <c r="E46" s="15" t="s">
        <v>53</v>
      </c>
      <c r="F46" s="15" t="s">
        <v>53</v>
      </c>
      <c r="G46" s="15" t="s">
        <v>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G2"/>
    <mergeCell ref="A3:G3"/>
  </mergeCells>
  <dataValidations count="1">
    <dataValidation type="list" sqref="E7:F46" xr:uid="{00000000-0002-0000-03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A6D3B"/>
  </sheetPr>
  <dimension ref="A1:Z200"/>
  <sheetViews>
    <sheetView showGridLines="0" workbookViewId="0">
      <pane ySplit="6" topLeftCell="A7" activePane="bottomLeft" state="frozen"/>
      <selection pane="bottomLeft" activeCell="E21" sqref="E21"/>
    </sheetView>
  </sheetViews>
  <sheetFormatPr defaultRowHeight="14.25"/>
  <cols>
    <col min="1" max="1" width="15" customWidth="1"/>
    <col min="2" max="3" width="19" customWidth="1"/>
    <col min="4" max="4" width="18" customWidth="1"/>
    <col min="5" max="6" width="16" customWidth="1"/>
    <col min="7" max="7" width="10" customWidth="1"/>
    <col min="8" max="8" width="35" customWidth="1"/>
    <col min="9" max="9" width="19" customWidth="1"/>
    <col min="10" max="10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149</v>
      </c>
      <c r="B2" s="107"/>
      <c r="C2" s="107"/>
      <c r="D2" s="107"/>
      <c r="E2" s="107"/>
      <c r="F2" s="107"/>
      <c r="G2" s="107"/>
      <c r="H2" s="107"/>
      <c r="I2" s="10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150</v>
      </c>
      <c r="B3" s="107"/>
      <c r="C3" s="107"/>
      <c r="D3" s="107"/>
      <c r="E3" s="107"/>
      <c r="F3" s="107"/>
      <c r="G3" s="107"/>
      <c r="H3" s="107"/>
      <c r="I3" s="10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" t="s">
        <v>41</v>
      </c>
      <c r="B6" s="12" t="s">
        <v>151</v>
      </c>
      <c r="C6" s="12" t="s">
        <v>152</v>
      </c>
      <c r="D6" s="12" t="s">
        <v>153</v>
      </c>
      <c r="E6" s="12" t="s">
        <v>45</v>
      </c>
      <c r="F6" s="12" t="s">
        <v>46</v>
      </c>
      <c r="G6" s="12" t="s">
        <v>47</v>
      </c>
      <c r="H6" s="12" t="s">
        <v>49</v>
      </c>
      <c r="I6" s="4" t="s">
        <v>154</v>
      </c>
      <c r="J6" s="51" t="s">
        <v>51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5" t="s">
        <v>55</v>
      </c>
      <c r="B7" s="5" t="s">
        <v>155</v>
      </c>
      <c r="C7" s="5" t="s">
        <v>156</v>
      </c>
      <c r="D7" s="27"/>
      <c r="E7" s="22">
        <v>45658</v>
      </c>
      <c r="F7" s="22"/>
      <c r="G7" s="13" t="s">
        <v>53</v>
      </c>
      <c r="H7" s="13"/>
      <c r="I7" s="5" t="str">
        <f t="shared" ref="I7:I15" si="0">IF(OR(D7="",G7&lt;&gt;"Sim"),"Sem meta oficial","Meta ativa")</f>
        <v>Sem meta oficial</v>
      </c>
      <c r="J7" s="52" t="s">
        <v>55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6" t="s">
        <v>55</v>
      </c>
      <c r="B8" s="6" t="s">
        <v>156</v>
      </c>
      <c r="C8" s="6" t="s">
        <v>157</v>
      </c>
      <c r="D8" s="28">
        <v>12</v>
      </c>
      <c r="E8" s="23">
        <v>45658</v>
      </c>
      <c r="F8" s="23"/>
      <c r="G8" s="14" t="s">
        <v>53</v>
      </c>
      <c r="H8" s="14"/>
      <c r="I8" s="6" t="str">
        <f t="shared" si="0"/>
        <v>Sem meta oficial</v>
      </c>
      <c r="J8" s="53" t="s">
        <v>55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3.1" customHeight="1">
      <c r="A9" s="6" t="s">
        <v>55</v>
      </c>
      <c r="B9" s="6" t="s">
        <v>157</v>
      </c>
      <c r="C9" s="6" t="s">
        <v>158</v>
      </c>
      <c r="D9" s="28">
        <v>12</v>
      </c>
      <c r="E9" s="23">
        <v>45658</v>
      </c>
      <c r="F9" s="23"/>
      <c r="G9" s="14" t="s">
        <v>69</v>
      </c>
      <c r="H9" s="14"/>
      <c r="I9" s="6" t="str">
        <f t="shared" si="0"/>
        <v>Meta ativa</v>
      </c>
      <c r="J9" s="53" t="s">
        <v>55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3.1" customHeight="1">
      <c r="A10" s="6" t="s">
        <v>55</v>
      </c>
      <c r="B10" s="6" t="s">
        <v>158</v>
      </c>
      <c r="C10" s="6" t="s">
        <v>159</v>
      </c>
      <c r="D10" s="28">
        <v>12</v>
      </c>
      <c r="E10" s="23">
        <v>45658</v>
      </c>
      <c r="F10" s="23"/>
      <c r="G10" s="14" t="s">
        <v>69</v>
      </c>
      <c r="H10" s="14"/>
      <c r="I10" s="6" t="str">
        <f t="shared" si="0"/>
        <v>Meta ativa</v>
      </c>
      <c r="J10" s="53" t="s">
        <v>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3.1" customHeight="1">
      <c r="A11" s="6" t="s">
        <v>55</v>
      </c>
      <c r="B11" s="6" t="s">
        <v>159</v>
      </c>
      <c r="C11" s="6" t="s">
        <v>160</v>
      </c>
      <c r="D11" s="28">
        <v>12</v>
      </c>
      <c r="E11" s="23">
        <v>45658</v>
      </c>
      <c r="F11" s="23"/>
      <c r="G11" s="14" t="s">
        <v>69</v>
      </c>
      <c r="H11" s="14"/>
      <c r="I11" s="6" t="str">
        <f t="shared" si="0"/>
        <v>Meta ativa</v>
      </c>
      <c r="J11" s="53" t="s">
        <v>55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3.1" customHeight="1">
      <c r="A12" s="6" t="s">
        <v>55</v>
      </c>
      <c r="B12" s="6" t="s">
        <v>160</v>
      </c>
      <c r="C12" s="6" t="s">
        <v>161</v>
      </c>
      <c r="D12" s="28">
        <v>12</v>
      </c>
      <c r="E12" s="23">
        <v>45658</v>
      </c>
      <c r="F12" s="23"/>
      <c r="G12" s="14" t="s">
        <v>69</v>
      </c>
      <c r="H12" s="14"/>
      <c r="I12" s="6" t="str">
        <f t="shared" si="0"/>
        <v>Meta ativa</v>
      </c>
      <c r="J12" s="53" t="s">
        <v>55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1" customHeight="1">
      <c r="A13" s="6" t="s">
        <v>55</v>
      </c>
      <c r="B13" s="6" t="s">
        <v>161</v>
      </c>
      <c r="C13" s="6" t="s">
        <v>162</v>
      </c>
      <c r="D13" s="28"/>
      <c r="E13" s="23">
        <v>45658</v>
      </c>
      <c r="F13" s="23"/>
      <c r="G13" s="14" t="s">
        <v>53</v>
      </c>
      <c r="H13" s="14"/>
      <c r="I13" s="6" t="str">
        <f t="shared" si="0"/>
        <v>Sem meta oficial</v>
      </c>
      <c r="J13" s="53" t="s">
        <v>55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3.1" customHeight="1">
      <c r="A14" s="6" t="s">
        <v>55</v>
      </c>
      <c r="B14" s="6" t="s">
        <v>162</v>
      </c>
      <c r="C14" s="6" t="s">
        <v>163</v>
      </c>
      <c r="D14" s="28"/>
      <c r="E14" s="23">
        <v>45658</v>
      </c>
      <c r="F14" s="23"/>
      <c r="G14" s="14" t="s">
        <v>53</v>
      </c>
      <c r="H14" s="14"/>
      <c r="I14" s="6" t="str">
        <f t="shared" si="0"/>
        <v>Sem meta oficial</v>
      </c>
      <c r="J14" s="53" t="s">
        <v>55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3.1" customHeight="1">
      <c r="A15" s="7" t="s">
        <v>55</v>
      </c>
      <c r="B15" s="7" t="s">
        <v>155</v>
      </c>
      <c r="C15" s="7" t="s">
        <v>163</v>
      </c>
      <c r="D15" s="29"/>
      <c r="E15" s="24">
        <v>45658</v>
      </c>
      <c r="F15" s="24"/>
      <c r="G15" s="15" t="s">
        <v>53</v>
      </c>
      <c r="H15" s="15"/>
      <c r="I15" s="7" t="str">
        <f t="shared" si="0"/>
        <v>Sem meta oficial</v>
      </c>
      <c r="J15" s="54" t="s">
        <v>55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I2"/>
    <mergeCell ref="A3:I3"/>
  </mergeCells>
  <dataValidations count="1">
    <dataValidation type="list" sqref="G7:G15" xr:uid="{00000000-0002-0000-04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8A2B3"/>
  </sheetPr>
  <dimension ref="A1:Z200"/>
  <sheetViews>
    <sheetView showGridLines="0" workbookViewId="0"/>
  </sheetViews>
  <sheetFormatPr defaultRowHeight="14.25"/>
  <cols>
    <col min="1" max="1" width="25" customWidth="1"/>
    <col min="2" max="2" width="14" customWidth="1"/>
    <col min="3" max="3" width="13" customWidth="1"/>
    <col min="4" max="4" width="64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164</v>
      </c>
      <c r="B2" s="107"/>
      <c r="C2" s="107"/>
      <c r="D2" s="10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165</v>
      </c>
      <c r="B3" s="107"/>
      <c r="C3" s="107"/>
      <c r="D3" s="10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2.1" customHeight="1">
      <c r="A6" s="3" t="s">
        <v>166</v>
      </c>
      <c r="B6" s="12" t="s">
        <v>167</v>
      </c>
      <c r="C6" s="12" t="s">
        <v>168</v>
      </c>
      <c r="D6" s="4" t="s">
        <v>169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.95" customHeight="1">
      <c r="A7" s="5" t="s">
        <v>170</v>
      </c>
      <c r="B7" s="30">
        <v>0.9</v>
      </c>
      <c r="C7" s="5" t="s">
        <v>171</v>
      </c>
      <c r="D7" s="5" t="s">
        <v>172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.95" customHeight="1">
      <c r="A8" s="6" t="s">
        <v>173</v>
      </c>
      <c r="B8" s="31">
        <v>0.7</v>
      </c>
      <c r="C8" s="6" t="s">
        <v>171</v>
      </c>
      <c r="D8" s="6" t="s">
        <v>174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.95" customHeight="1">
      <c r="A9" s="6" t="s">
        <v>175</v>
      </c>
      <c r="B9" s="31">
        <v>0.2</v>
      </c>
      <c r="C9" s="6" t="s">
        <v>171</v>
      </c>
      <c r="D9" s="6" t="s">
        <v>176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1.95" customHeight="1">
      <c r="A10" s="7" t="s">
        <v>177</v>
      </c>
      <c r="B10" s="29">
        <v>8</v>
      </c>
      <c r="C10" s="7" t="s">
        <v>178</v>
      </c>
      <c r="D10" s="7" t="s">
        <v>179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D2"/>
    <mergeCell ref="A3:D3"/>
  </mergeCells>
  <dataValidations count="1">
    <dataValidation type="decimal" sqref="B7:B9" xr:uid="{00000000-0002-0000-0500-000000000000}">
      <formula1>0</formula1>
      <formula2>1</formula2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A5AF8"/>
  </sheetPr>
  <dimension ref="A1:Z200"/>
  <sheetViews>
    <sheetView showGridLines="0" workbookViewId="0">
      <pane ySplit="6" topLeftCell="A7" activePane="bottomLeft" state="frozen"/>
      <selection pane="bottomLeft" activeCell="A31" sqref="A31:G32"/>
    </sheetView>
  </sheetViews>
  <sheetFormatPr defaultRowHeight="14.25"/>
  <cols>
    <col min="1" max="2" width="14" customWidth="1"/>
    <col min="3" max="4" width="18" customWidth="1"/>
    <col min="5" max="7" width="20" customWidth="1"/>
    <col min="8" max="8" width="12" customWidth="1"/>
    <col min="9" max="9" width="14" customWidth="1"/>
    <col min="10" max="11" width="18" customWidth="1"/>
    <col min="12" max="13" width="16" customWidth="1"/>
    <col min="14" max="14" width="10" customWidth="1"/>
    <col min="15" max="15" width="54" customWidth="1"/>
    <col min="16" max="16" width="24" customWidth="1"/>
    <col min="17" max="17" width="16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180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181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33" t="s">
        <v>41</v>
      </c>
      <c r="B6" s="34" t="s">
        <v>182</v>
      </c>
      <c r="C6" s="34" t="s">
        <v>183</v>
      </c>
      <c r="D6" s="34" t="s">
        <v>184</v>
      </c>
      <c r="E6" s="34" t="s">
        <v>185</v>
      </c>
      <c r="F6" s="34" t="s">
        <v>186</v>
      </c>
      <c r="G6" s="34" t="s">
        <v>187</v>
      </c>
      <c r="H6" s="34" t="s">
        <v>188</v>
      </c>
      <c r="I6" s="34" t="s">
        <v>189</v>
      </c>
      <c r="J6" s="34" t="s">
        <v>190</v>
      </c>
      <c r="K6" s="34" t="s">
        <v>191</v>
      </c>
      <c r="L6" s="34" t="s">
        <v>45</v>
      </c>
      <c r="M6" s="34" t="s">
        <v>46</v>
      </c>
      <c r="N6" s="34" t="s">
        <v>47</v>
      </c>
      <c r="O6" s="34" t="s">
        <v>49</v>
      </c>
      <c r="P6" s="35" t="s">
        <v>154</v>
      </c>
      <c r="Q6" s="51" t="s">
        <v>51</v>
      </c>
      <c r="R6" s="1"/>
      <c r="S6" s="1"/>
      <c r="T6" s="1"/>
      <c r="U6" s="1"/>
      <c r="V6" s="1"/>
      <c r="W6" s="1"/>
      <c r="X6" s="1"/>
      <c r="Y6" s="1"/>
      <c r="Z6" s="1"/>
    </row>
    <row r="7" spans="1:26">
      <c r="A7" s="5" t="s">
        <v>52</v>
      </c>
      <c r="B7" s="5" t="s">
        <v>192</v>
      </c>
      <c r="C7" s="36" t="s">
        <v>157</v>
      </c>
      <c r="D7" s="36" t="s">
        <v>160</v>
      </c>
      <c r="E7" s="39"/>
      <c r="F7" s="39">
        <v>0.58333333333333337</v>
      </c>
      <c r="G7" s="36" t="s">
        <v>193</v>
      </c>
      <c r="H7" s="42">
        <v>1</v>
      </c>
      <c r="I7" s="40">
        <v>0.83333333333333337</v>
      </c>
      <c r="J7" s="45"/>
      <c r="K7" s="43">
        <v>30</v>
      </c>
      <c r="L7" s="48">
        <v>45658</v>
      </c>
      <c r="M7" s="48"/>
      <c r="N7" s="36" t="s">
        <v>69</v>
      </c>
      <c r="O7" s="36" t="s">
        <v>194</v>
      </c>
      <c r="P7" s="5" t="str">
        <f t="shared" ref="P7:P51" si="0">IF(N7&lt;&gt;"Sim","Inativa",IF(OR(A7="",B7="",C7="",D7="",G7="",L7=""),"Configuração incompleta",IF(AND(G7="Dia útil + hora",OR(ISBLANK(H7),ISBLANK(I7))),"Prazo incompleto",IF(AND(G7="Horas úteis",ISBLANK(J7)),"Horas úteis ausentes","Regra ativa"))))</f>
        <v>Regra ativa</v>
      </c>
      <c r="Q7" s="52" t="s">
        <v>55</v>
      </c>
      <c r="R7" s="1"/>
      <c r="S7" s="1"/>
      <c r="T7" s="1"/>
      <c r="U7" s="1"/>
      <c r="V7" s="1"/>
      <c r="W7" s="1"/>
      <c r="X7" s="1"/>
      <c r="Y7" s="1"/>
      <c r="Z7" s="1"/>
    </row>
    <row r="8" spans="1:26">
      <c r="A8" s="6" t="s">
        <v>52</v>
      </c>
      <c r="B8" s="6" t="s">
        <v>192</v>
      </c>
      <c r="C8" s="36" t="s">
        <v>157</v>
      </c>
      <c r="D8" s="37" t="s">
        <v>160</v>
      </c>
      <c r="E8" s="40">
        <v>0.58333333333333337</v>
      </c>
      <c r="F8" s="40"/>
      <c r="G8" s="37" t="s">
        <v>193</v>
      </c>
      <c r="H8" s="43">
        <v>2</v>
      </c>
      <c r="I8" s="40">
        <v>0.66666666666666663</v>
      </c>
      <c r="J8" s="46"/>
      <c r="K8" s="43">
        <v>30</v>
      </c>
      <c r="L8" s="49">
        <v>45658</v>
      </c>
      <c r="M8" s="49"/>
      <c r="N8" s="37" t="s">
        <v>69</v>
      </c>
      <c r="O8" s="37" t="s">
        <v>195</v>
      </c>
      <c r="P8" s="6" t="str">
        <f t="shared" si="0"/>
        <v>Regra ativa</v>
      </c>
      <c r="Q8" s="53" t="s">
        <v>55</v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6" t="s">
        <v>56</v>
      </c>
      <c r="B9" s="6" t="s">
        <v>192</v>
      </c>
      <c r="C9" s="36" t="s">
        <v>157</v>
      </c>
      <c r="D9" s="37" t="s">
        <v>161</v>
      </c>
      <c r="E9" s="40"/>
      <c r="F9" s="40">
        <v>0.58333333333333337</v>
      </c>
      <c r="G9" s="37" t="s">
        <v>193</v>
      </c>
      <c r="H9" s="43">
        <v>1</v>
      </c>
      <c r="I9" s="40">
        <v>0.83333333333333337</v>
      </c>
      <c r="J9" s="46"/>
      <c r="K9" s="43">
        <v>30</v>
      </c>
      <c r="L9" s="49">
        <v>45658</v>
      </c>
      <c r="M9" s="49"/>
      <c r="N9" s="37" t="s">
        <v>69</v>
      </c>
      <c r="O9" s="37" t="s">
        <v>194</v>
      </c>
      <c r="P9" s="6" t="str">
        <f t="shared" si="0"/>
        <v>Regra ativa</v>
      </c>
      <c r="Q9" s="53" t="s">
        <v>55</v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 t="s">
        <v>56</v>
      </c>
      <c r="B10" s="6" t="s">
        <v>192</v>
      </c>
      <c r="C10" s="36" t="s">
        <v>157</v>
      </c>
      <c r="D10" s="37" t="s">
        <v>161</v>
      </c>
      <c r="E10" s="40">
        <v>0.58333333333333337</v>
      </c>
      <c r="F10" s="40"/>
      <c r="G10" s="37" t="s">
        <v>193</v>
      </c>
      <c r="H10" s="43">
        <v>2</v>
      </c>
      <c r="I10" s="40">
        <v>0.66666666666666663</v>
      </c>
      <c r="J10" s="46"/>
      <c r="K10" s="43">
        <v>30</v>
      </c>
      <c r="L10" s="49">
        <v>45658</v>
      </c>
      <c r="M10" s="49"/>
      <c r="N10" s="37" t="s">
        <v>69</v>
      </c>
      <c r="O10" s="37" t="s">
        <v>195</v>
      </c>
      <c r="P10" s="6" t="str">
        <f t="shared" si="0"/>
        <v>Regra ativa</v>
      </c>
      <c r="Q10" s="53" t="s">
        <v>55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 t="s">
        <v>58</v>
      </c>
      <c r="B11" s="6" t="s">
        <v>192</v>
      </c>
      <c r="C11" s="36" t="s">
        <v>157</v>
      </c>
      <c r="D11" s="37" t="s">
        <v>161</v>
      </c>
      <c r="E11" s="40"/>
      <c r="F11" s="40">
        <v>0.58333333333333337</v>
      </c>
      <c r="G11" s="37" t="s">
        <v>193</v>
      </c>
      <c r="H11" s="43">
        <v>1</v>
      </c>
      <c r="I11" s="40">
        <v>0.66666666666666663</v>
      </c>
      <c r="J11" s="46"/>
      <c r="K11" s="43">
        <v>30</v>
      </c>
      <c r="L11" s="49">
        <v>45658</v>
      </c>
      <c r="M11" s="49"/>
      <c r="N11" s="37" t="s">
        <v>69</v>
      </c>
      <c r="O11" s="37" t="s">
        <v>194</v>
      </c>
      <c r="P11" s="6" t="str">
        <f t="shared" si="0"/>
        <v>Regra ativa</v>
      </c>
      <c r="Q11" s="53" t="s">
        <v>55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 t="s">
        <v>58</v>
      </c>
      <c r="B12" s="6" t="s">
        <v>192</v>
      </c>
      <c r="C12" s="36" t="s">
        <v>157</v>
      </c>
      <c r="D12" s="37" t="s">
        <v>161</v>
      </c>
      <c r="E12" s="40">
        <v>0.58333333333333337</v>
      </c>
      <c r="F12" s="40"/>
      <c r="G12" s="37" t="s">
        <v>193</v>
      </c>
      <c r="H12" s="43">
        <v>2</v>
      </c>
      <c r="I12" s="40">
        <v>0.66666666666666663</v>
      </c>
      <c r="J12" s="46"/>
      <c r="K12" s="43">
        <v>30</v>
      </c>
      <c r="L12" s="49">
        <v>45658</v>
      </c>
      <c r="M12" s="49"/>
      <c r="N12" s="37" t="s">
        <v>69</v>
      </c>
      <c r="O12" s="37" t="s">
        <v>195</v>
      </c>
      <c r="P12" s="6" t="str">
        <f t="shared" si="0"/>
        <v>Regra ativa</v>
      </c>
      <c r="Q12" s="53" t="s">
        <v>55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 t="s">
        <v>60</v>
      </c>
      <c r="B13" s="6" t="s">
        <v>192</v>
      </c>
      <c r="C13" s="36" t="s">
        <v>157</v>
      </c>
      <c r="D13" s="37" t="s">
        <v>161</v>
      </c>
      <c r="E13" s="40"/>
      <c r="F13" s="40">
        <v>0.58333333333333337</v>
      </c>
      <c r="G13" s="37" t="s">
        <v>193</v>
      </c>
      <c r="H13" s="43">
        <v>1</v>
      </c>
      <c r="I13" s="40">
        <v>0.83333333333333337</v>
      </c>
      <c r="J13" s="46"/>
      <c r="K13" s="43">
        <v>30</v>
      </c>
      <c r="L13" s="49">
        <v>45658</v>
      </c>
      <c r="M13" s="49"/>
      <c r="N13" s="37" t="s">
        <v>69</v>
      </c>
      <c r="O13" s="37" t="s">
        <v>194</v>
      </c>
      <c r="P13" s="6" t="str">
        <f t="shared" si="0"/>
        <v>Regra ativa</v>
      </c>
      <c r="Q13" s="53" t="s">
        <v>55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 t="s">
        <v>60</v>
      </c>
      <c r="B14" s="6" t="s">
        <v>192</v>
      </c>
      <c r="C14" s="36" t="s">
        <v>157</v>
      </c>
      <c r="D14" s="37" t="s">
        <v>161</v>
      </c>
      <c r="E14" s="40">
        <v>0.58333333333333337</v>
      </c>
      <c r="F14" s="40"/>
      <c r="G14" s="37" t="s">
        <v>193</v>
      </c>
      <c r="H14" s="43">
        <v>2</v>
      </c>
      <c r="I14" s="40">
        <v>0.66666666666666663</v>
      </c>
      <c r="J14" s="46"/>
      <c r="K14" s="43">
        <v>30</v>
      </c>
      <c r="L14" s="49">
        <v>45658</v>
      </c>
      <c r="M14" s="49"/>
      <c r="N14" s="37" t="s">
        <v>69</v>
      </c>
      <c r="O14" s="37" t="s">
        <v>195</v>
      </c>
      <c r="P14" s="6" t="str">
        <f t="shared" si="0"/>
        <v>Regra ativa</v>
      </c>
      <c r="Q14" s="53" t="s">
        <v>55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 t="s">
        <v>62</v>
      </c>
      <c r="B15" s="6" t="s">
        <v>192</v>
      </c>
      <c r="C15" s="36" t="s">
        <v>157</v>
      </c>
      <c r="D15" s="37" t="s">
        <v>160</v>
      </c>
      <c r="E15" s="40"/>
      <c r="F15" s="40">
        <v>0.58333333333333337</v>
      </c>
      <c r="G15" s="37" t="s">
        <v>193</v>
      </c>
      <c r="H15" s="43">
        <v>1</v>
      </c>
      <c r="I15" s="40">
        <v>0.83333333333333337</v>
      </c>
      <c r="J15" s="46"/>
      <c r="K15" s="43">
        <v>30</v>
      </c>
      <c r="L15" s="49">
        <v>45658</v>
      </c>
      <c r="M15" s="49"/>
      <c r="N15" s="37" t="s">
        <v>69</v>
      </c>
      <c r="O15" s="37" t="s">
        <v>194</v>
      </c>
      <c r="P15" s="6" t="str">
        <f t="shared" si="0"/>
        <v>Regra ativa</v>
      </c>
      <c r="Q15" s="53" t="s">
        <v>55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 t="s">
        <v>62</v>
      </c>
      <c r="B16" s="6" t="s">
        <v>192</v>
      </c>
      <c r="C16" s="36" t="s">
        <v>157</v>
      </c>
      <c r="D16" s="37" t="s">
        <v>160</v>
      </c>
      <c r="E16" s="40">
        <v>0.58333333333333337</v>
      </c>
      <c r="F16" s="40"/>
      <c r="G16" s="37" t="s">
        <v>193</v>
      </c>
      <c r="H16" s="43">
        <v>2</v>
      </c>
      <c r="I16" s="40">
        <v>0.66666666666666663</v>
      </c>
      <c r="J16" s="46"/>
      <c r="K16" s="43">
        <v>30</v>
      </c>
      <c r="L16" s="49">
        <v>45658</v>
      </c>
      <c r="M16" s="49"/>
      <c r="N16" s="37" t="s">
        <v>69</v>
      </c>
      <c r="O16" s="37" t="s">
        <v>195</v>
      </c>
      <c r="P16" s="6" t="str">
        <f t="shared" si="0"/>
        <v>Regra ativa</v>
      </c>
      <c r="Q16" s="53" t="s">
        <v>55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 t="s">
        <v>64</v>
      </c>
      <c r="B17" s="6" t="s">
        <v>192</v>
      </c>
      <c r="C17" s="36" t="s">
        <v>157</v>
      </c>
      <c r="D17" s="37" t="s">
        <v>160</v>
      </c>
      <c r="E17" s="40"/>
      <c r="F17" s="40">
        <v>0.58333333333333337</v>
      </c>
      <c r="G17" s="37" t="s">
        <v>193</v>
      </c>
      <c r="H17" s="43">
        <v>1</v>
      </c>
      <c r="I17" s="40">
        <v>0.83333333333333337</v>
      </c>
      <c r="J17" s="46"/>
      <c r="K17" s="43">
        <v>30</v>
      </c>
      <c r="L17" s="49">
        <v>45658</v>
      </c>
      <c r="M17" s="49"/>
      <c r="N17" s="37" t="s">
        <v>69</v>
      </c>
      <c r="O17" s="37" t="s">
        <v>194</v>
      </c>
      <c r="P17" s="6" t="str">
        <f t="shared" si="0"/>
        <v>Regra ativa</v>
      </c>
      <c r="Q17" s="53" t="s">
        <v>55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 t="s">
        <v>64</v>
      </c>
      <c r="B18" s="6" t="s">
        <v>192</v>
      </c>
      <c r="C18" s="36" t="s">
        <v>157</v>
      </c>
      <c r="D18" s="37" t="s">
        <v>160</v>
      </c>
      <c r="E18" s="40">
        <v>0.58333333333333337</v>
      </c>
      <c r="F18" s="40"/>
      <c r="G18" s="37" t="s">
        <v>193</v>
      </c>
      <c r="H18" s="43">
        <v>2</v>
      </c>
      <c r="I18" s="40">
        <v>0.66666666666666663</v>
      </c>
      <c r="J18" s="46"/>
      <c r="K18" s="43">
        <v>30</v>
      </c>
      <c r="L18" s="49">
        <v>45658</v>
      </c>
      <c r="M18" s="49"/>
      <c r="N18" s="37" t="s">
        <v>69</v>
      </c>
      <c r="O18" s="37" t="s">
        <v>195</v>
      </c>
      <c r="P18" s="6" t="str">
        <f t="shared" si="0"/>
        <v>Regra ativa</v>
      </c>
      <c r="Q18" s="53" t="s">
        <v>55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 t="s">
        <v>66</v>
      </c>
      <c r="B19" s="6" t="s">
        <v>192</v>
      </c>
      <c r="C19" s="36" t="s">
        <v>157</v>
      </c>
      <c r="D19" s="37" t="s">
        <v>160</v>
      </c>
      <c r="E19" s="40"/>
      <c r="F19" s="40">
        <v>0.58333333333333337</v>
      </c>
      <c r="G19" s="37" t="s">
        <v>193</v>
      </c>
      <c r="H19" s="43">
        <v>1</v>
      </c>
      <c r="I19" s="40">
        <v>0.83333333333333337</v>
      </c>
      <c r="J19" s="46"/>
      <c r="K19" s="43">
        <v>30</v>
      </c>
      <c r="L19" s="49">
        <v>45658</v>
      </c>
      <c r="M19" s="49"/>
      <c r="N19" s="37" t="s">
        <v>69</v>
      </c>
      <c r="O19" s="37" t="s">
        <v>194</v>
      </c>
      <c r="P19" s="6" t="str">
        <f t="shared" si="0"/>
        <v>Regra ativa</v>
      </c>
      <c r="Q19" s="53" t="s">
        <v>55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 t="s">
        <v>66</v>
      </c>
      <c r="B20" s="6" t="s">
        <v>192</v>
      </c>
      <c r="C20" s="36" t="s">
        <v>157</v>
      </c>
      <c r="D20" s="37" t="s">
        <v>160</v>
      </c>
      <c r="E20" s="40">
        <v>0.58333333333333337</v>
      </c>
      <c r="F20" s="40"/>
      <c r="G20" s="37" t="s">
        <v>193</v>
      </c>
      <c r="H20" s="43">
        <v>2</v>
      </c>
      <c r="I20" s="40">
        <v>0.66666666666666663</v>
      </c>
      <c r="J20" s="46"/>
      <c r="K20" s="43">
        <v>30</v>
      </c>
      <c r="L20" s="49">
        <v>45658</v>
      </c>
      <c r="M20" s="49"/>
      <c r="N20" s="37" t="s">
        <v>69</v>
      </c>
      <c r="O20" s="37" t="s">
        <v>195</v>
      </c>
      <c r="P20" s="6" t="str">
        <f t="shared" si="0"/>
        <v>Regra ativa</v>
      </c>
      <c r="Q20" s="53" t="s">
        <v>55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 t="s">
        <v>68</v>
      </c>
      <c r="B21" s="6" t="s">
        <v>192</v>
      </c>
      <c r="C21" s="36" t="s">
        <v>157</v>
      </c>
      <c r="D21" s="37" t="s">
        <v>160</v>
      </c>
      <c r="E21" s="40"/>
      <c r="F21" s="40">
        <v>0.66666666666666663</v>
      </c>
      <c r="G21" s="37" t="s">
        <v>193</v>
      </c>
      <c r="H21" s="43">
        <v>1</v>
      </c>
      <c r="I21" s="40">
        <v>0.83333333333333337</v>
      </c>
      <c r="J21" s="46"/>
      <c r="K21" s="43">
        <v>30</v>
      </c>
      <c r="L21" s="49">
        <v>45658</v>
      </c>
      <c r="M21" s="49"/>
      <c r="N21" s="37" t="s">
        <v>69</v>
      </c>
      <c r="O21" s="37" t="s">
        <v>194</v>
      </c>
      <c r="P21" s="6" t="str">
        <f t="shared" si="0"/>
        <v>Regra ativa</v>
      </c>
      <c r="Q21" s="53" t="s">
        <v>55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 t="s">
        <v>68</v>
      </c>
      <c r="B22" s="6" t="s">
        <v>192</v>
      </c>
      <c r="C22" s="36" t="s">
        <v>157</v>
      </c>
      <c r="D22" s="37" t="s">
        <v>160</v>
      </c>
      <c r="E22" s="40">
        <v>0.66666666666666663</v>
      </c>
      <c r="F22" s="40"/>
      <c r="G22" s="37" t="s">
        <v>193</v>
      </c>
      <c r="H22" s="43">
        <v>2</v>
      </c>
      <c r="I22" s="40">
        <v>0.66666666666666663</v>
      </c>
      <c r="J22" s="46"/>
      <c r="K22" s="43">
        <v>30</v>
      </c>
      <c r="L22" s="49">
        <v>45658</v>
      </c>
      <c r="M22" s="49"/>
      <c r="N22" s="37" t="s">
        <v>69</v>
      </c>
      <c r="O22" s="37" t="s">
        <v>195</v>
      </c>
      <c r="P22" s="6" t="str">
        <f t="shared" si="0"/>
        <v>Regra ativa</v>
      </c>
      <c r="Q22" s="53" t="s">
        <v>55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 t="s">
        <v>71</v>
      </c>
      <c r="B23" s="6" t="s">
        <v>192</v>
      </c>
      <c r="C23" s="36" t="s">
        <v>157</v>
      </c>
      <c r="D23" s="37" t="s">
        <v>160</v>
      </c>
      <c r="E23" s="40"/>
      <c r="F23" s="40">
        <v>0.58333333333333337</v>
      </c>
      <c r="G23" s="37" t="s">
        <v>193</v>
      </c>
      <c r="H23" s="43">
        <v>1</v>
      </c>
      <c r="I23" s="40">
        <v>0.83333333333333337</v>
      </c>
      <c r="J23" s="46"/>
      <c r="K23" s="43">
        <v>30</v>
      </c>
      <c r="L23" s="49">
        <v>45658</v>
      </c>
      <c r="M23" s="49"/>
      <c r="N23" s="37" t="s">
        <v>69</v>
      </c>
      <c r="O23" s="37" t="s">
        <v>194</v>
      </c>
      <c r="P23" s="6" t="str">
        <f t="shared" si="0"/>
        <v>Regra ativa</v>
      </c>
      <c r="Q23" s="53" t="s">
        <v>55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 t="s">
        <v>71</v>
      </c>
      <c r="B24" s="6" t="s">
        <v>192</v>
      </c>
      <c r="C24" s="36" t="s">
        <v>157</v>
      </c>
      <c r="D24" s="37" t="s">
        <v>160</v>
      </c>
      <c r="E24" s="40">
        <v>0.58333333333333337</v>
      </c>
      <c r="F24" s="40"/>
      <c r="G24" s="37" t="s">
        <v>193</v>
      </c>
      <c r="H24" s="43">
        <v>2</v>
      </c>
      <c r="I24" s="40">
        <v>0.66666666666666663</v>
      </c>
      <c r="J24" s="46"/>
      <c r="K24" s="43">
        <v>30</v>
      </c>
      <c r="L24" s="49">
        <v>45658</v>
      </c>
      <c r="M24" s="49"/>
      <c r="N24" s="37" t="s">
        <v>69</v>
      </c>
      <c r="O24" s="37" t="s">
        <v>195</v>
      </c>
      <c r="P24" s="6" t="str">
        <f t="shared" si="0"/>
        <v>Regra ativa</v>
      </c>
      <c r="Q24" s="53" t="s">
        <v>55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 t="s">
        <v>73</v>
      </c>
      <c r="B25" s="6" t="s">
        <v>192</v>
      </c>
      <c r="C25" s="36" t="s">
        <v>157</v>
      </c>
      <c r="D25" s="37" t="s">
        <v>160</v>
      </c>
      <c r="E25" s="40"/>
      <c r="F25" s="40">
        <v>0.58333333333333337</v>
      </c>
      <c r="G25" s="37" t="s">
        <v>193</v>
      </c>
      <c r="H25" s="43">
        <v>1</v>
      </c>
      <c r="I25" s="40">
        <v>0.83333333333333337</v>
      </c>
      <c r="J25" s="46"/>
      <c r="K25" s="43">
        <v>30</v>
      </c>
      <c r="L25" s="49">
        <v>45658</v>
      </c>
      <c r="M25" s="49"/>
      <c r="N25" s="37" t="s">
        <v>69</v>
      </c>
      <c r="O25" s="37" t="s">
        <v>194</v>
      </c>
      <c r="P25" s="6" t="str">
        <f t="shared" si="0"/>
        <v>Regra ativa</v>
      </c>
      <c r="Q25" s="53" t="s">
        <v>55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 t="s">
        <v>73</v>
      </c>
      <c r="B26" s="6" t="s">
        <v>192</v>
      </c>
      <c r="C26" s="36" t="s">
        <v>157</v>
      </c>
      <c r="D26" s="37" t="s">
        <v>160</v>
      </c>
      <c r="E26" s="40">
        <v>0.58333333333333337</v>
      </c>
      <c r="F26" s="40"/>
      <c r="G26" s="37" t="s">
        <v>193</v>
      </c>
      <c r="H26" s="43">
        <v>2</v>
      </c>
      <c r="I26" s="40">
        <v>0.66666666666666663</v>
      </c>
      <c r="J26" s="46"/>
      <c r="K26" s="43">
        <v>30</v>
      </c>
      <c r="L26" s="49">
        <v>45658</v>
      </c>
      <c r="M26" s="49"/>
      <c r="N26" s="37" t="s">
        <v>69</v>
      </c>
      <c r="O26" s="37" t="s">
        <v>195</v>
      </c>
      <c r="P26" s="6" t="str">
        <f t="shared" si="0"/>
        <v>Regra ativa</v>
      </c>
      <c r="Q26" s="53" t="s">
        <v>55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 t="s">
        <v>74</v>
      </c>
      <c r="B27" s="6" t="s">
        <v>192</v>
      </c>
      <c r="C27" s="36" t="s">
        <v>157</v>
      </c>
      <c r="D27" s="37" t="s">
        <v>160</v>
      </c>
      <c r="E27" s="40"/>
      <c r="F27" s="40">
        <v>0.58333333333333337</v>
      </c>
      <c r="G27" s="37" t="s">
        <v>193</v>
      </c>
      <c r="H27" s="43">
        <v>1</v>
      </c>
      <c r="I27" s="40">
        <v>0.83333333333333337</v>
      </c>
      <c r="J27" s="46"/>
      <c r="K27" s="43">
        <v>30</v>
      </c>
      <c r="L27" s="49">
        <v>45658</v>
      </c>
      <c r="M27" s="49"/>
      <c r="N27" s="37" t="s">
        <v>69</v>
      </c>
      <c r="O27" s="37" t="s">
        <v>194</v>
      </c>
      <c r="P27" s="6" t="str">
        <f t="shared" si="0"/>
        <v>Regra ativa</v>
      </c>
      <c r="Q27" s="53" t="s">
        <v>55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 t="s">
        <v>74</v>
      </c>
      <c r="B28" s="6" t="s">
        <v>192</v>
      </c>
      <c r="C28" s="36" t="s">
        <v>157</v>
      </c>
      <c r="D28" s="37" t="s">
        <v>160</v>
      </c>
      <c r="E28" s="40">
        <v>0.58333333333333337</v>
      </c>
      <c r="F28" s="40"/>
      <c r="G28" s="37" t="s">
        <v>193</v>
      </c>
      <c r="H28" s="43">
        <v>2</v>
      </c>
      <c r="I28" s="40">
        <v>0.66666666666666663</v>
      </c>
      <c r="J28" s="46"/>
      <c r="K28" s="43">
        <v>30</v>
      </c>
      <c r="L28" s="49">
        <v>45658</v>
      </c>
      <c r="M28" s="49"/>
      <c r="N28" s="37" t="s">
        <v>69</v>
      </c>
      <c r="O28" s="37" t="s">
        <v>195</v>
      </c>
      <c r="P28" s="6" t="str">
        <f t="shared" si="0"/>
        <v>Regra ativa</v>
      </c>
      <c r="Q28" s="53" t="s">
        <v>55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 t="s">
        <v>76</v>
      </c>
      <c r="B29" s="6" t="s">
        <v>192</v>
      </c>
      <c r="C29" s="36" t="s">
        <v>157</v>
      </c>
      <c r="D29" s="37" t="s">
        <v>160</v>
      </c>
      <c r="E29" s="40"/>
      <c r="F29" s="40">
        <v>0.58333333333333337</v>
      </c>
      <c r="G29" s="37" t="s">
        <v>193</v>
      </c>
      <c r="H29" s="43">
        <v>1</v>
      </c>
      <c r="I29" s="40">
        <v>0.83333333333333337</v>
      </c>
      <c r="J29" s="46"/>
      <c r="K29" s="43">
        <v>30</v>
      </c>
      <c r="L29" s="49">
        <v>45658</v>
      </c>
      <c r="M29" s="49"/>
      <c r="N29" s="37" t="s">
        <v>69</v>
      </c>
      <c r="O29" s="37" t="s">
        <v>194</v>
      </c>
      <c r="P29" s="6" t="str">
        <f t="shared" si="0"/>
        <v>Regra ativa</v>
      </c>
      <c r="Q29" s="53" t="s">
        <v>55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 t="s">
        <v>76</v>
      </c>
      <c r="B30" s="6" t="s">
        <v>192</v>
      </c>
      <c r="C30" s="36" t="s">
        <v>157</v>
      </c>
      <c r="D30" s="37" t="s">
        <v>160</v>
      </c>
      <c r="E30" s="40">
        <v>0.58333333333333337</v>
      </c>
      <c r="F30" s="40"/>
      <c r="G30" s="37" t="s">
        <v>193</v>
      </c>
      <c r="H30" s="43">
        <v>2</v>
      </c>
      <c r="I30" s="40">
        <v>0.66666666666666663</v>
      </c>
      <c r="J30" s="46"/>
      <c r="K30" s="43">
        <v>30</v>
      </c>
      <c r="L30" s="49">
        <v>45658</v>
      </c>
      <c r="M30" s="49"/>
      <c r="N30" s="37" t="s">
        <v>69</v>
      </c>
      <c r="O30" s="37" t="s">
        <v>195</v>
      </c>
      <c r="P30" s="6" t="str">
        <f t="shared" si="0"/>
        <v>Regra ativa</v>
      </c>
      <c r="Q30" s="53" t="s">
        <v>55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 t="s">
        <v>78</v>
      </c>
      <c r="B31" s="6" t="s">
        <v>192</v>
      </c>
      <c r="C31" s="36" t="s">
        <v>157</v>
      </c>
      <c r="D31" s="37" t="s">
        <v>160</v>
      </c>
      <c r="E31" s="40"/>
      <c r="F31" s="40">
        <v>0.58333333333333337</v>
      </c>
      <c r="G31" s="37" t="s">
        <v>193</v>
      </c>
      <c r="H31" s="43">
        <v>1</v>
      </c>
      <c r="I31" s="40">
        <v>0.83333333333333337</v>
      </c>
      <c r="J31" s="46"/>
      <c r="K31" s="43">
        <v>30</v>
      </c>
      <c r="L31" s="49">
        <v>45658</v>
      </c>
      <c r="M31" s="49"/>
      <c r="N31" s="37" t="s">
        <v>69</v>
      </c>
      <c r="O31" s="37" t="s">
        <v>305</v>
      </c>
      <c r="P31" s="6" t="str">
        <f t="shared" si="0"/>
        <v>Regra ativa</v>
      </c>
      <c r="Q31" s="53" t="s">
        <v>55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 t="s">
        <v>78</v>
      </c>
      <c r="B32" s="6" t="s">
        <v>192</v>
      </c>
      <c r="C32" s="36" t="s">
        <v>157</v>
      </c>
      <c r="D32" s="37" t="s">
        <v>160</v>
      </c>
      <c r="E32" s="40">
        <v>0.58333333333333337</v>
      </c>
      <c r="F32" s="40"/>
      <c r="G32" s="37" t="s">
        <v>193</v>
      </c>
      <c r="H32" s="43">
        <v>2</v>
      </c>
      <c r="I32" s="40">
        <v>0.66666666666666663</v>
      </c>
      <c r="J32" s="46"/>
      <c r="K32" s="43">
        <v>30</v>
      </c>
      <c r="L32" s="49">
        <v>45658</v>
      </c>
      <c r="M32" s="49"/>
      <c r="N32" s="37" t="s">
        <v>69</v>
      </c>
      <c r="O32" s="37" t="s">
        <v>306</v>
      </c>
      <c r="P32" s="6" t="str">
        <f t="shared" si="0"/>
        <v>Regra ativa</v>
      </c>
      <c r="Q32" s="53" t="s">
        <v>55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 t="s">
        <v>80</v>
      </c>
      <c r="B33" s="6" t="s">
        <v>192</v>
      </c>
      <c r="C33" s="36" t="s">
        <v>157</v>
      </c>
      <c r="D33" s="37" t="s">
        <v>160</v>
      </c>
      <c r="E33" s="40"/>
      <c r="F33" s="40">
        <v>0.58333333333333337</v>
      </c>
      <c r="G33" s="37" t="s">
        <v>193</v>
      </c>
      <c r="H33" s="43">
        <v>1</v>
      </c>
      <c r="I33" s="40">
        <v>0.83333333333333337</v>
      </c>
      <c r="J33" s="46"/>
      <c r="K33" s="43">
        <v>30</v>
      </c>
      <c r="L33" s="49">
        <v>45658</v>
      </c>
      <c r="M33" s="49"/>
      <c r="N33" s="37" t="s">
        <v>69</v>
      </c>
      <c r="O33" s="37" t="s">
        <v>194</v>
      </c>
      <c r="P33" s="6" t="str">
        <f t="shared" si="0"/>
        <v>Regra ativa</v>
      </c>
      <c r="Q33" s="53" t="s">
        <v>55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 t="s">
        <v>80</v>
      </c>
      <c r="B34" s="6" t="s">
        <v>192</v>
      </c>
      <c r="C34" s="36" t="s">
        <v>157</v>
      </c>
      <c r="D34" s="37" t="s">
        <v>160</v>
      </c>
      <c r="E34" s="40">
        <v>0.58333333333333337</v>
      </c>
      <c r="F34" s="40"/>
      <c r="G34" s="37" t="s">
        <v>193</v>
      </c>
      <c r="H34" s="43">
        <v>2</v>
      </c>
      <c r="I34" s="40">
        <v>0.66666666666666663</v>
      </c>
      <c r="J34" s="46"/>
      <c r="K34" s="43">
        <v>30</v>
      </c>
      <c r="L34" s="49">
        <v>45658</v>
      </c>
      <c r="M34" s="49"/>
      <c r="N34" s="37" t="s">
        <v>69</v>
      </c>
      <c r="O34" s="37" t="s">
        <v>195</v>
      </c>
      <c r="P34" s="6" t="str">
        <f t="shared" si="0"/>
        <v>Regra ativa</v>
      </c>
      <c r="Q34" s="53" t="s">
        <v>55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 t="s">
        <v>82</v>
      </c>
      <c r="B35" s="6" t="s">
        <v>192</v>
      </c>
      <c r="C35" s="36" t="s">
        <v>157</v>
      </c>
      <c r="D35" s="37" t="s">
        <v>160</v>
      </c>
      <c r="E35" s="40"/>
      <c r="F35" s="40">
        <v>0.58333333333333337</v>
      </c>
      <c r="G35" s="37" t="s">
        <v>193</v>
      </c>
      <c r="H35" s="43">
        <v>1</v>
      </c>
      <c r="I35" s="40">
        <v>0.83333333333333337</v>
      </c>
      <c r="J35" s="46"/>
      <c r="K35" s="43">
        <v>30</v>
      </c>
      <c r="L35" s="49">
        <v>45658</v>
      </c>
      <c r="M35" s="49"/>
      <c r="N35" s="37" t="s">
        <v>69</v>
      </c>
      <c r="O35" s="37" t="s">
        <v>194</v>
      </c>
      <c r="P35" s="6" t="str">
        <f t="shared" si="0"/>
        <v>Regra ativa</v>
      </c>
      <c r="Q35" s="53" t="s">
        <v>55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 t="s">
        <v>82</v>
      </c>
      <c r="B36" s="6" t="s">
        <v>192</v>
      </c>
      <c r="C36" s="36" t="s">
        <v>157</v>
      </c>
      <c r="D36" s="37" t="s">
        <v>160</v>
      </c>
      <c r="E36" s="40">
        <v>0.58333333333333337</v>
      </c>
      <c r="F36" s="40"/>
      <c r="G36" s="37" t="s">
        <v>193</v>
      </c>
      <c r="H36" s="43">
        <v>2</v>
      </c>
      <c r="I36" s="40">
        <v>0.66666666666666663</v>
      </c>
      <c r="J36" s="46"/>
      <c r="K36" s="43">
        <v>30</v>
      </c>
      <c r="L36" s="49">
        <v>45658</v>
      </c>
      <c r="M36" s="49"/>
      <c r="N36" s="37" t="s">
        <v>69</v>
      </c>
      <c r="O36" s="37" t="s">
        <v>195</v>
      </c>
      <c r="P36" s="6" t="str">
        <f t="shared" si="0"/>
        <v>Regra ativa</v>
      </c>
      <c r="Q36" s="53" t="s">
        <v>55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 t="s">
        <v>84</v>
      </c>
      <c r="B37" s="6" t="s">
        <v>192</v>
      </c>
      <c r="C37" s="36" t="s">
        <v>157</v>
      </c>
      <c r="D37" s="37" t="s">
        <v>160</v>
      </c>
      <c r="E37" s="40"/>
      <c r="F37" s="40">
        <v>0.5</v>
      </c>
      <c r="G37" s="37" t="s">
        <v>193</v>
      </c>
      <c r="H37" s="43">
        <v>1</v>
      </c>
      <c r="I37" s="40">
        <v>0.83333333333333337</v>
      </c>
      <c r="J37" s="46"/>
      <c r="K37" s="43">
        <v>30</v>
      </c>
      <c r="L37" s="49">
        <v>45658</v>
      </c>
      <c r="M37" s="49"/>
      <c r="N37" s="37" t="s">
        <v>69</v>
      </c>
      <c r="O37" s="37" t="s">
        <v>194</v>
      </c>
      <c r="P37" s="6" t="str">
        <f t="shared" si="0"/>
        <v>Regra ativa</v>
      </c>
      <c r="Q37" s="53" t="s">
        <v>55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 t="s">
        <v>84</v>
      </c>
      <c r="B38" s="6" t="s">
        <v>192</v>
      </c>
      <c r="C38" s="36" t="s">
        <v>157</v>
      </c>
      <c r="D38" s="37" t="s">
        <v>160</v>
      </c>
      <c r="E38" s="40">
        <v>0.5</v>
      </c>
      <c r="F38" s="40"/>
      <c r="G38" s="37" t="s">
        <v>193</v>
      </c>
      <c r="H38" s="43">
        <v>2</v>
      </c>
      <c r="I38" s="40">
        <v>0.66666666666666663</v>
      </c>
      <c r="J38" s="46"/>
      <c r="K38" s="43">
        <v>30</v>
      </c>
      <c r="L38" s="49">
        <v>45658</v>
      </c>
      <c r="M38" s="49"/>
      <c r="N38" s="37" t="s">
        <v>69</v>
      </c>
      <c r="O38" s="37" t="s">
        <v>195</v>
      </c>
      <c r="P38" s="6" t="str">
        <f t="shared" si="0"/>
        <v>Regra ativa</v>
      </c>
      <c r="Q38" s="53" t="s">
        <v>55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 t="s">
        <v>86</v>
      </c>
      <c r="B39" s="6" t="s">
        <v>192</v>
      </c>
      <c r="C39" s="36" t="s">
        <v>157</v>
      </c>
      <c r="D39" s="37" t="s">
        <v>160</v>
      </c>
      <c r="E39" s="40"/>
      <c r="F39" s="40">
        <v>0.58333333333333337</v>
      </c>
      <c r="G39" s="37" t="s">
        <v>193</v>
      </c>
      <c r="H39" s="43">
        <v>1</v>
      </c>
      <c r="I39" s="40">
        <v>0.83333333333333337</v>
      </c>
      <c r="J39" s="46"/>
      <c r="K39" s="43">
        <v>30</v>
      </c>
      <c r="L39" s="49">
        <v>45658</v>
      </c>
      <c r="M39" s="49"/>
      <c r="N39" s="37" t="s">
        <v>69</v>
      </c>
      <c r="O39" s="37" t="s">
        <v>194</v>
      </c>
      <c r="P39" s="6" t="str">
        <f t="shared" si="0"/>
        <v>Regra ativa</v>
      </c>
      <c r="Q39" s="53" t="s">
        <v>55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 t="s">
        <v>86</v>
      </c>
      <c r="B40" s="6" t="s">
        <v>192</v>
      </c>
      <c r="C40" s="36" t="s">
        <v>157</v>
      </c>
      <c r="D40" s="37" t="s">
        <v>160</v>
      </c>
      <c r="E40" s="40">
        <v>0.58333333333333337</v>
      </c>
      <c r="F40" s="40"/>
      <c r="G40" s="37" t="s">
        <v>193</v>
      </c>
      <c r="H40" s="43">
        <v>2</v>
      </c>
      <c r="I40" s="40">
        <v>0.66666666666666663</v>
      </c>
      <c r="J40" s="46"/>
      <c r="K40" s="43">
        <v>30</v>
      </c>
      <c r="L40" s="49">
        <v>45658</v>
      </c>
      <c r="M40" s="49"/>
      <c r="N40" s="37" t="s">
        <v>69</v>
      </c>
      <c r="O40" s="37" t="s">
        <v>195</v>
      </c>
      <c r="P40" s="6" t="str">
        <f t="shared" si="0"/>
        <v>Regra ativa</v>
      </c>
      <c r="Q40" s="53" t="s">
        <v>55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 t="s">
        <v>88</v>
      </c>
      <c r="B41" s="6" t="s">
        <v>192</v>
      </c>
      <c r="C41" s="36" t="s">
        <v>157</v>
      </c>
      <c r="D41" s="37" t="s">
        <v>160</v>
      </c>
      <c r="E41" s="40"/>
      <c r="F41" s="40">
        <v>0.58333333333333337</v>
      </c>
      <c r="G41" s="37" t="s">
        <v>193</v>
      </c>
      <c r="H41" s="43">
        <v>1</v>
      </c>
      <c r="I41" s="40">
        <v>0.83333333333333337</v>
      </c>
      <c r="J41" s="46"/>
      <c r="K41" s="43">
        <v>30</v>
      </c>
      <c r="L41" s="49">
        <v>45658</v>
      </c>
      <c r="M41" s="49"/>
      <c r="N41" s="37" t="s">
        <v>69</v>
      </c>
      <c r="O41" s="37" t="s">
        <v>194</v>
      </c>
      <c r="P41" s="6" t="str">
        <f t="shared" si="0"/>
        <v>Regra ativa</v>
      </c>
      <c r="Q41" s="53" t="s">
        <v>55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 t="s">
        <v>88</v>
      </c>
      <c r="B42" s="6" t="s">
        <v>192</v>
      </c>
      <c r="C42" s="36" t="s">
        <v>157</v>
      </c>
      <c r="D42" s="37" t="s">
        <v>160</v>
      </c>
      <c r="E42" s="40">
        <v>0.58333333333333337</v>
      </c>
      <c r="F42" s="40"/>
      <c r="G42" s="37" t="s">
        <v>193</v>
      </c>
      <c r="H42" s="43">
        <v>2</v>
      </c>
      <c r="I42" s="40">
        <v>0.66666666666666663</v>
      </c>
      <c r="J42" s="46"/>
      <c r="K42" s="43">
        <v>30</v>
      </c>
      <c r="L42" s="49">
        <v>45658</v>
      </c>
      <c r="M42" s="49"/>
      <c r="N42" s="37" t="s">
        <v>69</v>
      </c>
      <c r="O42" s="37" t="s">
        <v>195</v>
      </c>
      <c r="P42" s="6" t="str">
        <f t="shared" si="0"/>
        <v>Regra ativa</v>
      </c>
      <c r="Q42" s="53" t="s">
        <v>55</v>
      </c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 t="s">
        <v>90</v>
      </c>
      <c r="B43" s="6" t="s">
        <v>192</v>
      </c>
      <c r="C43" s="36" t="s">
        <v>157</v>
      </c>
      <c r="D43" s="37" t="s">
        <v>160</v>
      </c>
      <c r="E43" s="40"/>
      <c r="F43" s="40">
        <v>0.66666666666666663</v>
      </c>
      <c r="G43" s="37" t="s">
        <v>193</v>
      </c>
      <c r="H43" s="43">
        <v>1</v>
      </c>
      <c r="I43" s="40">
        <v>0.83333333333333337</v>
      </c>
      <c r="J43" s="46"/>
      <c r="K43" s="43">
        <v>30</v>
      </c>
      <c r="L43" s="49">
        <v>45658</v>
      </c>
      <c r="M43" s="49"/>
      <c r="N43" s="37" t="s">
        <v>69</v>
      </c>
      <c r="O43" s="37" t="s">
        <v>194</v>
      </c>
      <c r="P43" s="6" t="str">
        <f t="shared" si="0"/>
        <v>Regra ativa</v>
      </c>
      <c r="Q43" s="53" t="s">
        <v>55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 t="s">
        <v>90</v>
      </c>
      <c r="B44" s="6" t="s">
        <v>192</v>
      </c>
      <c r="C44" s="36" t="s">
        <v>157</v>
      </c>
      <c r="D44" s="37" t="s">
        <v>160</v>
      </c>
      <c r="E44" s="40">
        <v>0.66666666666666663</v>
      </c>
      <c r="F44" s="40"/>
      <c r="G44" s="37" t="s">
        <v>193</v>
      </c>
      <c r="H44" s="43">
        <v>2</v>
      </c>
      <c r="I44" s="40">
        <v>0.66666666666666663</v>
      </c>
      <c r="J44" s="46"/>
      <c r="K44" s="43">
        <v>30</v>
      </c>
      <c r="L44" s="49">
        <v>45658</v>
      </c>
      <c r="M44" s="49"/>
      <c r="N44" s="37" t="s">
        <v>69</v>
      </c>
      <c r="O44" s="37" t="s">
        <v>195</v>
      </c>
      <c r="P44" s="6" t="str">
        <f t="shared" si="0"/>
        <v>Regra ativa</v>
      </c>
      <c r="Q44" s="53" t="s">
        <v>55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 t="s">
        <v>92</v>
      </c>
      <c r="B45" s="6" t="s">
        <v>192</v>
      </c>
      <c r="C45" s="36" t="s">
        <v>157</v>
      </c>
      <c r="D45" s="37" t="s">
        <v>160</v>
      </c>
      <c r="E45" s="40"/>
      <c r="F45" s="40">
        <v>0.58333333333333337</v>
      </c>
      <c r="G45" s="37" t="s">
        <v>193</v>
      </c>
      <c r="H45" s="43">
        <v>1</v>
      </c>
      <c r="I45" s="40">
        <v>0.83333333333333337</v>
      </c>
      <c r="J45" s="46"/>
      <c r="K45" s="43">
        <v>30</v>
      </c>
      <c r="L45" s="49">
        <v>45658</v>
      </c>
      <c r="M45" s="49"/>
      <c r="N45" s="37" t="s">
        <v>69</v>
      </c>
      <c r="O45" s="37" t="s">
        <v>194</v>
      </c>
      <c r="P45" s="6" t="str">
        <f t="shared" si="0"/>
        <v>Regra ativa</v>
      </c>
      <c r="Q45" s="53" t="s">
        <v>55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 t="s">
        <v>92</v>
      </c>
      <c r="B46" s="6" t="s">
        <v>192</v>
      </c>
      <c r="C46" s="36" t="s">
        <v>157</v>
      </c>
      <c r="D46" s="37" t="s">
        <v>160</v>
      </c>
      <c r="E46" s="40">
        <v>0.58333333333333337</v>
      </c>
      <c r="F46" s="40"/>
      <c r="G46" s="37" t="s">
        <v>193</v>
      </c>
      <c r="H46" s="43">
        <v>2</v>
      </c>
      <c r="I46" s="40">
        <v>0.66666666666666663</v>
      </c>
      <c r="J46" s="46"/>
      <c r="K46" s="43">
        <v>30</v>
      </c>
      <c r="L46" s="49">
        <v>45658</v>
      </c>
      <c r="M46" s="49"/>
      <c r="N46" s="37" t="s">
        <v>69</v>
      </c>
      <c r="O46" s="37" t="s">
        <v>195</v>
      </c>
      <c r="P46" s="6" t="str">
        <f t="shared" si="0"/>
        <v>Regra ativa</v>
      </c>
      <c r="Q46" s="53" t="s">
        <v>55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 t="s">
        <v>94</v>
      </c>
      <c r="B47" s="6" t="s">
        <v>192</v>
      </c>
      <c r="C47" s="36" t="s">
        <v>157</v>
      </c>
      <c r="D47" s="37" t="s">
        <v>160</v>
      </c>
      <c r="E47" s="40"/>
      <c r="F47" s="40">
        <v>0.58333333333333337</v>
      </c>
      <c r="G47" s="37" t="s">
        <v>193</v>
      </c>
      <c r="H47" s="43">
        <v>1</v>
      </c>
      <c r="I47" s="40">
        <v>0.83333333333333337</v>
      </c>
      <c r="J47" s="46"/>
      <c r="K47" s="43">
        <v>30</v>
      </c>
      <c r="L47" s="49">
        <v>45658</v>
      </c>
      <c r="M47" s="49"/>
      <c r="N47" s="37" t="s">
        <v>69</v>
      </c>
      <c r="O47" s="37" t="s">
        <v>194</v>
      </c>
      <c r="P47" s="6" t="str">
        <f t="shared" si="0"/>
        <v>Regra ativa</v>
      </c>
      <c r="Q47" s="53" t="s">
        <v>55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 t="s">
        <v>94</v>
      </c>
      <c r="B48" s="6" t="s">
        <v>192</v>
      </c>
      <c r="C48" s="36" t="s">
        <v>157</v>
      </c>
      <c r="D48" s="37" t="s">
        <v>160</v>
      </c>
      <c r="E48" s="40">
        <v>0.58333333333333337</v>
      </c>
      <c r="F48" s="40"/>
      <c r="G48" s="37" t="s">
        <v>193</v>
      </c>
      <c r="H48" s="43">
        <v>2</v>
      </c>
      <c r="I48" s="40">
        <v>0.66666666666666663</v>
      </c>
      <c r="J48" s="46"/>
      <c r="K48" s="43">
        <v>30</v>
      </c>
      <c r="L48" s="49">
        <v>45658</v>
      </c>
      <c r="M48" s="49"/>
      <c r="N48" s="37" t="s">
        <v>69</v>
      </c>
      <c r="O48" s="37" t="s">
        <v>195</v>
      </c>
      <c r="P48" s="6" t="str">
        <f t="shared" si="0"/>
        <v>Regra ativa</v>
      </c>
      <c r="Q48" s="53" t="s">
        <v>55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 t="s">
        <v>96</v>
      </c>
      <c r="B49" s="6" t="s">
        <v>192</v>
      </c>
      <c r="C49" s="36" t="s">
        <v>157</v>
      </c>
      <c r="D49" s="37" t="s">
        <v>160</v>
      </c>
      <c r="E49" s="40"/>
      <c r="F49" s="40">
        <v>0.58333333333333337</v>
      </c>
      <c r="G49" s="37" t="s">
        <v>193</v>
      </c>
      <c r="H49" s="43">
        <v>1</v>
      </c>
      <c r="I49" s="40">
        <v>0.83333333333333337</v>
      </c>
      <c r="J49" s="46"/>
      <c r="K49" s="43">
        <v>30</v>
      </c>
      <c r="L49" s="49">
        <v>45658</v>
      </c>
      <c r="M49" s="49"/>
      <c r="N49" s="37" t="s">
        <v>69</v>
      </c>
      <c r="O49" s="37" t="s">
        <v>194</v>
      </c>
      <c r="P49" s="6" t="str">
        <f t="shared" si="0"/>
        <v>Regra ativa</v>
      </c>
      <c r="Q49" s="53" t="s">
        <v>55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 t="s">
        <v>96</v>
      </c>
      <c r="B50" s="6" t="s">
        <v>192</v>
      </c>
      <c r="C50" s="36" t="s">
        <v>157</v>
      </c>
      <c r="D50" s="37" t="s">
        <v>160</v>
      </c>
      <c r="E50" s="40">
        <v>0.58333333333333337</v>
      </c>
      <c r="F50" s="40"/>
      <c r="G50" s="37" t="s">
        <v>193</v>
      </c>
      <c r="H50" s="43">
        <v>2</v>
      </c>
      <c r="I50" s="40">
        <v>0.66666666666666663</v>
      </c>
      <c r="J50" s="46"/>
      <c r="K50" s="43">
        <v>30</v>
      </c>
      <c r="L50" s="49">
        <v>45658</v>
      </c>
      <c r="M50" s="49"/>
      <c r="N50" s="37" t="s">
        <v>69</v>
      </c>
      <c r="O50" s="37" t="s">
        <v>195</v>
      </c>
      <c r="P50" s="6" t="str">
        <f t="shared" si="0"/>
        <v>Regra ativa</v>
      </c>
      <c r="Q50" s="53" t="s">
        <v>55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 t="s">
        <v>97</v>
      </c>
      <c r="B51" s="6" t="s">
        <v>192</v>
      </c>
      <c r="C51" s="36" t="s">
        <v>157</v>
      </c>
      <c r="D51" s="37" t="s">
        <v>160</v>
      </c>
      <c r="E51" s="40"/>
      <c r="F51" s="40">
        <v>0.58333333333333337</v>
      </c>
      <c r="G51" s="37" t="s">
        <v>193</v>
      </c>
      <c r="H51" s="43">
        <v>1</v>
      </c>
      <c r="I51" s="40">
        <v>0.83333333333333337</v>
      </c>
      <c r="J51" s="46"/>
      <c r="K51" s="43">
        <v>30</v>
      </c>
      <c r="L51" s="49">
        <v>45658</v>
      </c>
      <c r="M51" s="49"/>
      <c r="N51" s="37" t="s">
        <v>69</v>
      </c>
      <c r="O51" s="37" t="s">
        <v>194</v>
      </c>
      <c r="P51" s="6" t="str">
        <f t="shared" si="0"/>
        <v>Regra ativa</v>
      </c>
      <c r="Q51" s="53" t="s">
        <v>55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7" t="s">
        <v>97</v>
      </c>
      <c r="B52" s="7" t="s">
        <v>192</v>
      </c>
      <c r="C52" s="36" t="s">
        <v>157</v>
      </c>
      <c r="D52" s="37" t="s">
        <v>160</v>
      </c>
      <c r="E52" s="41">
        <v>0.58333333333333337</v>
      </c>
      <c r="F52" s="41"/>
      <c r="G52" s="38" t="s">
        <v>193</v>
      </c>
      <c r="H52" s="44">
        <v>2</v>
      </c>
      <c r="I52" s="40">
        <v>0.66666666666666663</v>
      </c>
      <c r="J52" s="47"/>
      <c r="K52" s="43">
        <v>30</v>
      </c>
      <c r="L52" s="50">
        <v>45658</v>
      </c>
      <c r="M52" s="50"/>
      <c r="N52" s="38" t="s">
        <v>69</v>
      </c>
      <c r="O52" s="38" t="s">
        <v>195</v>
      </c>
      <c r="P52" s="7" t="str">
        <f>IF(N52&lt;&gt;"Sim","Inativa",IF(OR(A52="",B52="",C52="",D52="",G52="",L52=""),"Configuração incompleta",IF(AND(G52="Dia útil + hora",OR(H52="",I52="")),"Prazo incompleto",IF(AND(G52="Horas úteis",J52=""),"Horas úteis ausentes","Regra ativa"))))</f>
        <v>Regra ativa</v>
      </c>
      <c r="Q52" s="54" t="s">
        <v>55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5" t="s">
        <v>99</v>
      </c>
      <c r="B53" s="5" t="s">
        <v>192</v>
      </c>
      <c r="C53" s="36" t="s">
        <v>157</v>
      </c>
      <c r="D53" s="37" t="s">
        <v>160</v>
      </c>
      <c r="E53" s="62"/>
      <c r="F53" s="62">
        <v>0.58333333333333337</v>
      </c>
      <c r="G53" s="61" t="s">
        <v>193</v>
      </c>
      <c r="H53" s="63">
        <v>1</v>
      </c>
      <c r="I53" s="62">
        <v>0.83333333333333337</v>
      </c>
      <c r="J53" s="64"/>
      <c r="K53" s="63">
        <v>30</v>
      </c>
      <c r="L53" s="65">
        <v>45658</v>
      </c>
      <c r="M53" s="65"/>
      <c r="N53" s="61" t="s">
        <v>69</v>
      </c>
      <c r="O53" s="61" t="s">
        <v>196</v>
      </c>
      <c r="P53" s="5" t="str">
        <f>IF(N53&lt;&gt;"Sim","Inativa",IF(OR(A53="",B53="",C53="",D53="",G53="",L53=""),"Configuração incompleta",IF(AND(G53="Dia útil + hora",OR(ISBLANK(H53),ISBLANK(I53))),"Prazo incompleto",IF(AND(G53="Horas úteis",ISBLANK(J53)),"Horas úteis ausentes","Regra ativa"))))</f>
        <v>Regra ativa</v>
      </c>
      <c r="Q53" s="61" t="s">
        <v>55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 t="s">
        <v>99</v>
      </c>
      <c r="B54" s="6" t="s">
        <v>192</v>
      </c>
      <c r="C54" s="36" t="s">
        <v>157</v>
      </c>
      <c r="D54" s="37" t="s">
        <v>160</v>
      </c>
      <c r="E54" s="67">
        <v>0.58333333333333337</v>
      </c>
      <c r="F54" s="67"/>
      <c r="G54" s="66" t="s">
        <v>193</v>
      </c>
      <c r="H54" s="68">
        <v>2</v>
      </c>
      <c r="I54" s="40">
        <v>0.66666666666666663</v>
      </c>
      <c r="J54" s="69"/>
      <c r="K54" s="68">
        <v>30</v>
      </c>
      <c r="L54" s="70">
        <v>45658</v>
      </c>
      <c r="M54" s="70"/>
      <c r="N54" s="66" t="s">
        <v>69</v>
      </c>
      <c r="O54" s="66" t="s">
        <v>197</v>
      </c>
      <c r="P54" s="6" t="str">
        <f>IF(N54&lt;&gt;"Sim","Inativa",IF(OR(A54="",B54="",C54="",D54="",G54="",L54=""),"Configuração incompleta",IF(AND(G54="Dia útil + hora",OR(ISBLANK(H54),ISBLANK(I54))),"Prazo incompleto",IF(AND(G54="Horas úteis",ISBLANK(J54)),"Horas úteis ausentes","Regra ativa"))))</f>
        <v>Regra ativa</v>
      </c>
      <c r="Q54" s="66" t="s">
        <v>55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5" t="s">
        <v>102</v>
      </c>
      <c r="B55" s="5" t="s">
        <v>192</v>
      </c>
      <c r="C55" s="36" t="s">
        <v>157</v>
      </c>
      <c r="D55" s="38" t="s">
        <v>161</v>
      </c>
      <c r="E55" s="62"/>
      <c r="F55" s="62">
        <v>0.58333333333333337</v>
      </c>
      <c r="G55" s="61" t="s">
        <v>193</v>
      </c>
      <c r="H55" s="63">
        <v>1</v>
      </c>
      <c r="I55" s="62">
        <v>0.83333333333333337</v>
      </c>
      <c r="J55" s="64"/>
      <c r="K55" s="63">
        <v>30</v>
      </c>
      <c r="L55" s="65">
        <v>45658</v>
      </c>
      <c r="M55" s="65"/>
      <c r="N55" s="61" t="s">
        <v>69</v>
      </c>
      <c r="O55" s="61" t="s">
        <v>198</v>
      </c>
      <c r="P55" s="5" t="s">
        <v>199</v>
      </c>
      <c r="Q55" s="61" t="s">
        <v>55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 t="s">
        <v>102</v>
      </c>
      <c r="B56" s="6" t="s">
        <v>192</v>
      </c>
      <c r="C56" s="36" t="s">
        <v>157</v>
      </c>
      <c r="D56" s="38" t="s">
        <v>161</v>
      </c>
      <c r="E56" s="67">
        <v>0.58333333333333337</v>
      </c>
      <c r="F56" s="67"/>
      <c r="G56" s="66" t="s">
        <v>193</v>
      </c>
      <c r="H56" s="68">
        <v>2</v>
      </c>
      <c r="I56" s="40">
        <v>0.66666666666666663</v>
      </c>
      <c r="J56" s="69"/>
      <c r="K56" s="68">
        <v>30</v>
      </c>
      <c r="L56" s="70">
        <v>45658</v>
      </c>
      <c r="M56" s="70"/>
      <c r="N56" s="66" t="s">
        <v>69</v>
      </c>
      <c r="O56" s="66" t="s">
        <v>200</v>
      </c>
      <c r="P56" s="6" t="s">
        <v>199</v>
      </c>
      <c r="Q56" s="66" t="s">
        <v>55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5" t="s">
        <v>106</v>
      </c>
      <c r="B57" s="5" t="s">
        <v>192</v>
      </c>
      <c r="C57" s="36" t="s">
        <v>157</v>
      </c>
      <c r="D57" s="38" t="s">
        <v>161</v>
      </c>
      <c r="E57" s="62"/>
      <c r="F57" s="62">
        <v>0.58333333333333337</v>
      </c>
      <c r="G57" s="61" t="s">
        <v>193</v>
      </c>
      <c r="H57" s="63">
        <v>1</v>
      </c>
      <c r="I57" s="62">
        <v>0.83333333333333337</v>
      </c>
      <c r="J57" s="64"/>
      <c r="K57" s="63">
        <v>30</v>
      </c>
      <c r="L57" s="65">
        <v>45658</v>
      </c>
      <c r="M57" s="65"/>
      <c r="N57" s="61" t="s">
        <v>69</v>
      </c>
      <c r="O57" s="61" t="s">
        <v>198</v>
      </c>
      <c r="P57" s="5" t="s">
        <v>199</v>
      </c>
      <c r="Q57" s="61" t="s">
        <v>55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 t="s">
        <v>106</v>
      </c>
      <c r="B58" s="6" t="s">
        <v>192</v>
      </c>
      <c r="C58" s="36" t="s">
        <v>157</v>
      </c>
      <c r="D58" s="38" t="s">
        <v>161</v>
      </c>
      <c r="E58" s="67">
        <v>0.58333333333333337</v>
      </c>
      <c r="F58" s="67"/>
      <c r="G58" s="66" t="s">
        <v>193</v>
      </c>
      <c r="H58" s="68">
        <v>2</v>
      </c>
      <c r="I58" s="40">
        <v>0.66666666666666663</v>
      </c>
      <c r="J58" s="69"/>
      <c r="K58" s="68">
        <v>30</v>
      </c>
      <c r="L58" s="70">
        <v>45658</v>
      </c>
      <c r="M58" s="70"/>
      <c r="N58" s="66" t="s">
        <v>69</v>
      </c>
      <c r="O58" s="66" t="s">
        <v>200</v>
      </c>
      <c r="P58" s="6" t="s">
        <v>199</v>
      </c>
      <c r="Q58" s="66" t="s">
        <v>55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5" t="s">
        <v>108</v>
      </c>
      <c r="B59" s="5" t="s">
        <v>192</v>
      </c>
      <c r="C59" s="36" t="s">
        <v>157</v>
      </c>
      <c r="D59" s="38" t="s">
        <v>161</v>
      </c>
      <c r="E59" s="62"/>
      <c r="F59" s="62">
        <v>0.58333333333333337</v>
      </c>
      <c r="G59" s="61" t="s">
        <v>193</v>
      </c>
      <c r="H59" s="63">
        <v>1</v>
      </c>
      <c r="I59" s="62">
        <v>0.83333333333333337</v>
      </c>
      <c r="J59" s="64"/>
      <c r="K59" s="63">
        <v>30</v>
      </c>
      <c r="L59" s="65">
        <v>45658</v>
      </c>
      <c r="M59" s="65"/>
      <c r="N59" s="61" t="s">
        <v>69</v>
      </c>
      <c r="O59" s="61" t="s">
        <v>198</v>
      </c>
      <c r="P59" s="5" t="s">
        <v>199</v>
      </c>
      <c r="Q59" s="61" t="s">
        <v>55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 t="s">
        <v>108</v>
      </c>
      <c r="B60" s="6" t="s">
        <v>192</v>
      </c>
      <c r="C60" s="36" t="s">
        <v>157</v>
      </c>
      <c r="D60" s="38" t="s">
        <v>161</v>
      </c>
      <c r="E60" s="67">
        <v>0.58333333333333337</v>
      </c>
      <c r="F60" s="67"/>
      <c r="G60" s="66" t="s">
        <v>193</v>
      </c>
      <c r="H60" s="68">
        <v>2</v>
      </c>
      <c r="I60" s="40">
        <v>0.66666666666666663</v>
      </c>
      <c r="J60" s="69"/>
      <c r="K60" s="68">
        <v>30</v>
      </c>
      <c r="L60" s="70">
        <v>45658</v>
      </c>
      <c r="M60" s="70"/>
      <c r="N60" s="66" t="s">
        <v>69</v>
      </c>
      <c r="O60" s="66" t="s">
        <v>200</v>
      </c>
      <c r="P60" s="6" t="s">
        <v>199</v>
      </c>
      <c r="Q60" s="66" t="s">
        <v>55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</sheetData>
  <mergeCells count="2">
    <mergeCell ref="A2:P2"/>
    <mergeCell ref="A3:P3"/>
  </mergeCells>
  <conditionalFormatting sqref="P7:P60">
    <cfRule type="containsText" dxfId="1" priority="1" operator="containsText" text="Regra ativa"/>
    <cfRule type="containsText" dxfId="0" priority="2" operator="containsText" text="incompleta"/>
  </conditionalFormatting>
  <dataValidations count="3">
    <dataValidation type="list" sqref="C7:D60" xr:uid="{00000000-0002-0000-0600-000000000000}">
      <formula1>"Creation,Released,Allocated,In Progress,Picked,Packed,Ready to Load,Complete,Shipped"</formula1>
    </dataValidation>
    <dataValidation type="list" sqref="G7:G54" xr:uid="{00000000-0002-0000-0600-000001000000}">
      <formula1>"Dia útil + hora,Horas úteis"</formula1>
    </dataValidation>
    <dataValidation type="list" sqref="N7:N54" xr:uid="{00000000-0002-0000-06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A5AF8"/>
  </sheetPr>
  <dimension ref="A2:H32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4" customWidth="1"/>
    <col min="4" max="4" width="10" customWidth="1"/>
    <col min="5" max="5" width="20" customWidth="1"/>
    <col min="6" max="6" width="18" customWidth="1"/>
    <col min="7" max="7" width="48" customWidth="1"/>
    <col min="8" max="8" width="14" customWidth="1"/>
  </cols>
  <sheetData>
    <row r="2" spans="1:8" ht="19.5">
      <c r="A2" s="106" t="s">
        <v>201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202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55" t="s">
        <v>41</v>
      </c>
      <c r="B6" s="56" t="s">
        <v>203</v>
      </c>
      <c r="C6" s="56" t="s">
        <v>204</v>
      </c>
      <c r="D6" s="56" t="s">
        <v>47</v>
      </c>
      <c r="E6" s="56" t="s">
        <v>205</v>
      </c>
      <c r="F6" s="56" t="s">
        <v>206</v>
      </c>
      <c r="G6" s="56" t="s">
        <v>49</v>
      </c>
      <c r="H6" s="57" t="s">
        <v>154</v>
      </c>
    </row>
    <row r="7" spans="1:8" ht="23.1" customHeight="1">
      <c r="A7" s="5" t="s">
        <v>52</v>
      </c>
      <c r="B7" s="52" t="s">
        <v>207</v>
      </c>
      <c r="C7" s="92">
        <v>46176</v>
      </c>
      <c r="D7" s="52" t="s">
        <v>69</v>
      </c>
      <c r="E7" s="52" t="s">
        <v>208</v>
      </c>
      <c r="F7" s="52" t="s">
        <v>69</v>
      </c>
      <c r="G7" s="52" t="s">
        <v>209</v>
      </c>
      <c r="H7" s="5" t="s">
        <v>210</v>
      </c>
    </row>
    <row r="8" spans="1:8" ht="23.1" customHeight="1">
      <c r="A8" s="6" t="s">
        <v>102</v>
      </c>
      <c r="B8" s="53" t="s">
        <v>207</v>
      </c>
      <c r="C8" s="93">
        <v>46183</v>
      </c>
      <c r="D8" s="53" t="s">
        <v>69</v>
      </c>
      <c r="E8" s="53" t="s">
        <v>211</v>
      </c>
      <c r="F8" s="53" t="s">
        <v>69</v>
      </c>
      <c r="G8" s="53" t="s">
        <v>212</v>
      </c>
      <c r="H8" s="6" t="s">
        <v>210</v>
      </c>
    </row>
    <row r="9" spans="1:8" ht="23.1" customHeight="1">
      <c r="A9" s="6" t="s">
        <v>56</v>
      </c>
      <c r="B9" s="53" t="s">
        <v>207</v>
      </c>
      <c r="C9" s="93">
        <v>46153</v>
      </c>
      <c r="D9" s="53" t="s">
        <v>69</v>
      </c>
      <c r="E9" s="53" t="s">
        <v>213</v>
      </c>
      <c r="F9" s="53" t="s">
        <v>69</v>
      </c>
      <c r="G9" s="53" t="s">
        <v>214</v>
      </c>
      <c r="H9" s="6" t="s">
        <v>210</v>
      </c>
    </row>
    <row r="10" spans="1:8" ht="23.1" customHeight="1">
      <c r="A10" s="6" t="s">
        <v>58</v>
      </c>
      <c r="B10" s="53" t="s">
        <v>207</v>
      </c>
      <c r="C10" s="93">
        <v>46190</v>
      </c>
      <c r="D10" s="53" t="s">
        <v>69</v>
      </c>
      <c r="E10" s="53" t="s">
        <v>215</v>
      </c>
      <c r="F10" s="53" t="s">
        <v>69</v>
      </c>
      <c r="G10" s="53" t="s">
        <v>216</v>
      </c>
      <c r="H10" s="6" t="s">
        <v>210</v>
      </c>
    </row>
    <row r="11" spans="1:8" ht="23.1" customHeight="1">
      <c r="A11" s="6" t="s">
        <v>62</v>
      </c>
      <c r="B11" s="53" t="s">
        <v>207</v>
      </c>
      <c r="C11" s="93">
        <v>46182</v>
      </c>
      <c r="D11" s="53" t="s">
        <v>69</v>
      </c>
      <c r="E11" s="53" t="s">
        <v>217</v>
      </c>
      <c r="F11" s="53" t="s">
        <v>69</v>
      </c>
      <c r="G11" s="53" t="s">
        <v>216</v>
      </c>
      <c r="H11" s="6" t="s">
        <v>210</v>
      </c>
    </row>
    <row r="12" spans="1:8" ht="23.1" customHeight="1">
      <c r="A12" s="6" t="s">
        <v>64</v>
      </c>
      <c r="B12" s="53" t="s">
        <v>207</v>
      </c>
      <c r="C12" s="93">
        <v>46055</v>
      </c>
      <c r="D12" s="53" t="s">
        <v>69</v>
      </c>
      <c r="E12" s="53"/>
      <c r="F12" s="53" t="s">
        <v>69</v>
      </c>
      <c r="G12" s="53" t="s">
        <v>218</v>
      </c>
      <c r="H12" s="6" t="s">
        <v>210</v>
      </c>
    </row>
    <row r="13" spans="1:8" ht="23.1" customHeight="1">
      <c r="A13" s="6" t="s">
        <v>106</v>
      </c>
      <c r="B13" s="53" t="s">
        <v>207</v>
      </c>
      <c r="C13" s="93">
        <v>46252</v>
      </c>
      <c r="D13" s="53" t="s">
        <v>69</v>
      </c>
      <c r="E13" s="53" t="s">
        <v>219</v>
      </c>
      <c r="F13" s="53" t="s">
        <v>69</v>
      </c>
      <c r="G13" s="53" t="s">
        <v>212</v>
      </c>
      <c r="H13" s="6" t="s">
        <v>210</v>
      </c>
    </row>
    <row r="14" spans="1:8" ht="23.1" customHeight="1">
      <c r="A14" s="6" t="s">
        <v>66</v>
      </c>
      <c r="B14" s="53" t="s">
        <v>207</v>
      </c>
      <c r="C14" s="93">
        <v>46170</v>
      </c>
      <c r="D14" s="53" t="s">
        <v>69</v>
      </c>
      <c r="E14" s="53" t="s">
        <v>220</v>
      </c>
      <c r="F14" s="53" t="s">
        <v>69</v>
      </c>
      <c r="G14" s="53" t="s">
        <v>216</v>
      </c>
      <c r="H14" s="6" t="s">
        <v>210</v>
      </c>
    </row>
    <row r="15" spans="1:8" ht="23.1" customHeight="1">
      <c r="A15" s="6" t="s">
        <v>68</v>
      </c>
      <c r="B15" s="53" t="s">
        <v>207</v>
      </c>
      <c r="C15" s="93">
        <v>46176</v>
      </c>
      <c r="D15" s="53" t="s">
        <v>69</v>
      </c>
      <c r="E15" s="53" t="s">
        <v>221</v>
      </c>
      <c r="F15" s="53" t="s">
        <v>69</v>
      </c>
      <c r="G15" s="53" t="s">
        <v>216</v>
      </c>
      <c r="H15" s="6" t="s">
        <v>210</v>
      </c>
    </row>
    <row r="16" spans="1:8" ht="23.1" customHeight="1">
      <c r="A16" s="6" t="s">
        <v>71</v>
      </c>
      <c r="B16" s="53" t="s">
        <v>207</v>
      </c>
      <c r="C16" s="93">
        <v>46188</v>
      </c>
      <c r="D16" s="53" t="s">
        <v>69</v>
      </c>
      <c r="E16" s="53" t="s">
        <v>222</v>
      </c>
      <c r="F16" s="53" t="s">
        <v>69</v>
      </c>
      <c r="G16" s="53" t="s">
        <v>212</v>
      </c>
      <c r="H16" s="6" t="s">
        <v>210</v>
      </c>
    </row>
    <row r="17" spans="1:8" ht="23.1" customHeight="1">
      <c r="A17" s="6" t="s">
        <v>73</v>
      </c>
      <c r="B17" s="53" t="s">
        <v>207</v>
      </c>
      <c r="C17" s="93">
        <v>46191</v>
      </c>
      <c r="D17" s="53" t="s">
        <v>69</v>
      </c>
      <c r="E17" s="53" t="s">
        <v>223</v>
      </c>
      <c r="F17" s="53" t="s">
        <v>69</v>
      </c>
      <c r="G17" s="53" t="s">
        <v>212</v>
      </c>
      <c r="H17" s="6" t="s">
        <v>210</v>
      </c>
    </row>
    <row r="18" spans="1:8" ht="23.1" customHeight="1">
      <c r="A18" s="6" t="s">
        <v>74</v>
      </c>
      <c r="B18" s="53" t="s">
        <v>207</v>
      </c>
      <c r="C18" s="93">
        <v>46175</v>
      </c>
      <c r="D18" s="53" t="s">
        <v>69</v>
      </c>
      <c r="E18" s="53" t="s">
        <v>224</v>
      </c>
      <c r="F18" s="53" t="s">
        <v>69</v>
      </c>
      <c r="G18" s="53" t="s">
        <v>216</v>
      </c>
      <c r="H18" s="6" t="s">
        <v>210</v>
      </c>
    </row>
    <row r="19" spans="1:8" ht="23.1" customHeight="1">
      <c r="A19" s="6" t="s">
        <v>76</v>
      </c>
      <c r="B19" s="53" t="s">
        <v>207</v>
      </c>
      <c r="C19" s="93">
        <v>46183</v>
      </c>
      <c r="D19" s="53" t="s">
        <v>69</v>
      </c>
      <c r="E19" s="53" t="s">
        <v>225</v>
      </c>
      <c r="F19" s="53" t="s">
        <v>69</v>
      </c>
      <c r="G19" s="53" t="s">
        <v>212</v>
      </c>
      <c r="H19" s="6" t="s">
        <v>210</v>
      </c>
    </row>
    <row r="20" spans="1:8" ht="23.1" customHeight="1">
      <c r="A20" s="6" t="s">
        <v>78</v>
      </c>
      <c r="B20" s="53" t="s">
        <v>207</v>
      </c>
      <c r="C20" s="93">
        <v>46180</v>
      </c>
      <c r="D20" s="53" t="s">
        <v>69</v>
      </c>
      <c r="E20" s="53" t="s">
        <v>226</v>
      </c>
      <c r="F20" s="53" t="s">
        <v>69</v>
      </c>
      <c r="G20" s="53" t="s">
        <v>216</v>
      </c>
      <c r="H20" s="6" t="s">
        <v>210</v>
      </c>
    </row>
    <row r="21" spans="1:8" ht="23.1" customHeight="1">
      <c r="A21" s="7" t="s">
        <v>80</v>
      </c>
      <c r="B21" s="54" t="s">
        <v>207</v>
      </c>
      <c r="C21" s="94">
        <v>46190</v>
      </c>
      <c r="D21" s="54" t="s">
        <v>69</v>
      </c>
      <c r="E21" s="54" t="s">
        <v>227</v>
      </c>
      <c r="F21" s="54" t="s">
        <v>69</v>
      </c>
      <c r="G21" s="54" t="s">
        <v>212</v>
      </c>
      <c r="H21" s="7" t="s">
        <v>210</v>
      </c>
    </row>
    <row r="22" spans="1:8" ht="23.1" customHeight="1">
      <c r="A22" s="58" t="s">
        <v>82</v>
      </c>
      <c r="B22" s="59" t="s">
        <v>207</v>
      </c>
      <c r="C22" s="95">
        <v>46184</v>
      </c>
      <c r="D22" s="59" t="s">
        <v>69</v>
      </c>
      <c r="E22" s="59" t="s">
        <v>228</v>
      </c>
      <c r="F22" s="59" t="s">
        <v>69</v>
      </c>
      <c r="G22" s="59" t="s">
        <v>216</v>
      </c>
      <c r="H22" s="58" t="s">
        <v>210</v>
      </c>
    </row>
    <row r="23" spans="1:8">
      <c r="A23" s="7" t="s">
        <v>99</v>
      </c>
      <c r="B23" s="54" t="s">
        <v>207</v>
      </c>
      <c r="C23" s="94">
        <v>46253</v>
      </c>
      <c r="D23" s="54" t="s">
        <v>69</v>
      </c>
      <c r="E23" s="54" t="s">
        <v>229</v>
      </c>
      <c r="F23" s="54" t="s">
        <v>69</v>
      </c>
      <c r="G23" s="54" t="s">
        <v>216</v>
      </c>
      <c r="H23" s="7" t="s">
        <v>210</v>
      </c>
    </row>
    <row r="24" spans="1:8">
      <c r="A24" s="58" t="s">
        <v>84</v>
      </c>
      <c r="B24" s="59" t="s">
        <v>207</v>
      </c>
      <c r="C24" s="95">
        <v>46157</v>
      </c>
      <c r="D24" s="59" t="s">
        <v>69</v>
      </c>
      <c r="E24" s="59" t="s">
        <v>230</v>
      </c>
      <c r="F24" s="59" t="s">
        <v>69</v>
      </c>
      <c r="G24" s="59" t="s">
        <v>216</v>
      </c>
      <c r="H24" s="58" t="s">
        <v>210</v>
      </c>
    </row>
    <row r="25" spans="1:8">
      <c r="A25" s="7" t="s">
        <v>108</v>
      </c>
      <c r="B25" s="54" t="s">
        <v>207</v>
      </c>
      <c r="C25" s="94">
        <v>46190</v>
      </c>
      <c r="D25" s="54" t="s">
        <v>69</v>
      </c>
      <c r="E25" s="54" t="s">
        <v>231</v>
      </c>
      <c r="F25" s="54" t="s">
        <v>69</v>
      </c>
      <c r="G25" s="54" t="s">
        <v>212</v>
      </c>
      <c r="H25" s="7" t="s">
        <v>210</v>
      </c>
    </row>
    <row r="26" spans="1:8">
      <c r="A26" s="58" t="s">
        <v>86</v>
      </c>
      <c r="B26" s="59" t="s">
        <v>207</v>
      </c>
      <c r="C26" s="95">
        <v>46189</v>
      </c>
      <c r="D26" s="59" t="s">
        <v>69</v>
      </c>
      <c r="E26" s="59" t="s">
        <v>232</v>
      </c>
      <c r="F26" s="59" t="s">
        <v>69</v>
      </c>
      <c r="G26" s="59" t="s">
        <v>212</v>
      </c>
      <c r="H26" s="58" t="s">
        <v>210</v>
      </c>
    </row>
    <row r="27" spans="1:8">
      <c r="A27" s="7" t="s">
        <v>88</v>
      </c>
      <c r="B27" s="54" t="s">
        <v>207</v>
      </c>
      <c r="C27" s="94">
        <v>46188</v>
      </c>
      <c r="D27" s="54" t="s">
        <v>69</v>
      </c>
      <c r="E27" s="54"/>
      <c r="F27" s="54" t="s">
        <v>69</v>
      </c>
      <c r="G27" s="54" t="s">
        <v>233</v>
      </c>
      <c r="H27" s="7" t="s">
        <v>210</v>
      </c>
    </row>
    <row r="28" spans="1:8">
      <c r="A28" s="58" t="s">
        <v>90</v>
      </c>
      <c r="B28" s="59" t="s">
        <v>207</v>
      </c>
      <c r="C28" s="95">
        <v>46113</v>
      </c>
      <c r="D28" s="59" t="s">
        <v>69</v>
      </c>
      <c r="E28" s="59" t="s">
        <v>234</v>
      </c>
      <c r="F28" s="59" t="s">
        <v>69</v>
      </c>
      <c r="G28" s="59" t="s">
        <v>216</v>
      </c>
      <c r="H28" s="58" t="s">
        <v>210</v>
      </c>
    </row>
    <row r="29" spans="1:8">
      <c r="A29" s="7" t="s">
        <v>92</v>
      </c>
      <c r="B29" s="54" t="s">
        <v>207</v>
      </c>
      <c r="C29" s="94">
        <v>46188</v>
      </c>
      <c r="D29" s="54" t="s">
        <v>69</v>
      </c>
      <c r="E29" s="54" t="s">
        <v>235</v>
      </c>
      <c r="F29" s="54" t="s">
        <v>69</v>
      </c>
      <c r="G29" s="54" t="s">
        <v>216</v>
      </c>
      <c r="H29" s="7" t="s">
        <v>210</v>
      </c>
    </row>
    <row r="30" spans="1:8">
      <c r="A30" s="58" t="s">
        <v>94</v>
      </c>
      <c r="B30" s="59" t="s">
        <v>207</v>
      </c>
      <c r="C30" s="95">
        <v>46049</v>
      </c>
      <c r="D30" s="59" t="s">
        <v>69</v>
      </c>
      <c r="E30" s="59" t="s">
        <v>236</v>
      </c>
      <c r="F30" s="59" t="s">
        <v>69</v>
      </c>
      <c r="G30" s="59" t="s">
        <v>216</v>
      </c>
      <c r="H30" s="58" t="s">
        <v>210</v>
      </c>
    </row>
    <row r="31" spans="1:8">
      <c r="A31" s="7" t="s">
        <v>96</v>
      </c>
      <c r="B31" s="54" t="s">
        <v>207</v>
      </c>
      <c r="C31" s="94">
        <v>46189</v>
      </c>
      <c r="D31" s="54" t="s">
        <v>69</v>
      </c>
      <c r="E31" s="54" t="s">
        <v>237</v>
      </c>
      <c r="F31" s="54" t="s">
        <v>69</v>
      </c>
      <c r="G31" s="54" t="s">
        <v>212</v>
      </c>
      <c r="H31" s="7" t="s">
        <v>210</v>
      </c>
    </row>
    <row r="32" spans="1:8">
      <c r="A32" s="58" t="s">
        <v>97</v>
      </c>
      <c r="B32" s="59" t="s">
        <v>207</v>
      </c>
      <c r="C32" s="95">
        <v>46181</v>
      </c>
      <c r="D32" s="59" t="s">
        <v>69</v>
      </c>
      <c r="E32" s="59" t="s">
        <v>238</v>
      </c>
      <c r="F32" s="59" t="s">
        <v>69</v>
      </c>
      <c r="G32" s="59" t="s">
        <v>216</v>
      </c>
      <c r="H32" s="58" t="s">
        <v>210</v>
      </c>
    </row>
  </sheetData>
  <mergeCells count="2">
    <mergeCell ref="A2:H2"/>
    <mergeCell ref="A3:H3"/>
  </mergeCells>
  <dataValidations count="1">
    <dataValidation type="list" sqref="D7:D22 F7:F22" xr:uid="{00000000-0002-0000-07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A5AF8"/>
  </sheetPr>
  <dimension ref="A2:F24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1" width="14" customWidth="1"/>
    <col min="2" max="2" width="20" customWidth="1"/>
    <col min="3" max="3" width="16" customWidth="1"/>
    <col min="4" max="4" width="18" customWidth="1"/>
    <col min="5" max="5" width="10" customWidth="1"/>
    <col min="6" max="6" width="34" customWidth="1"/>
  </cols>
  <sheetData>
    <row r="2" spans="1:6" ht="19.5">
      <c r="A2" s="106" t="s">
        <v>239</v>
      </c>
      <c r="B2" s="109"/>
      <c r="C2" s="109"/>
      <c r="D2" s="109"/>
      <c r="E2" s="109"/>
      <c r="F2" s="109"/>
    </row>
    <row r="3" spans="1:6">
      <c r="A3" s="108" t="s">
        <v>240</v>
      </c>
      <c r="B3" s="109"/>
      <c r="C3" s="109"/>
      <c r="D3" s="109"/>
      <c r="E3" s="109"/>
      <c r="F3" s="109"/>
    </row>
    <row r="6" spans="1:6" ht="36" customHeight="1">
      <c r="A6" s="55" t="s">
        <v>41</v>
      </c>
      <c r="B6" s="56" t="s">
        <v>241</v>
      </c>
      <c r="C6" s="56" t="s">
        <v>51</v>
      </c>
      <c r="D6" s="56" t="s">
        <v>242</v>
      </c>
      <c r="E6" s="56" t="s">
        <v>47</v>
      </c>
      <c r="F6" s="57" t="s">
        <v>49</v>
      </c>
    </row>
    <row r="7" spans="1:6" ht="23.1" customHeight="1">
      <c r="A7" s="52" t="s">
        <v>52</v>
      </c>
      <c r="B7" s="52" t="s">
        <v>243</v>
      </c>
      <c r="C7" s="52" t="s">
        <v>243</v>
      </c>
      <c r="D7" s="52" t="s">
        <v>244</v>
      </c>
      <c r="E7" s="52" t="s">
        <v>69</v>
      </c>
      <c r="F7" s="5" t="s">
        <v>245</v>
      </c>
    </row>
    <row r="8" spans="1:6" ht="23.1" customHeight="1">
      <c r="A8" s="53" t="s">
        <v>52</v>
      </c>
      <c r="B8" s="53" t="s">
        <v>246</v>
      </c>
      <c r="C8" s="53" t="s">
        <v>246</v>
      </c>
      <c r="D8" s="53" t="s">
        <v>247</v>
      </c>
      <c r="E8" s="53" t="s">
        <v>69</v>
      </c>
      <c r="F8" s="6" t="s">
        <v>245</v>
      </c>
    </row>
    <row r="9" spans="1:6" ht="23.1" customHeight="1">
      <c r="A9" s="53" t="s">
        <v>56</v>
      </c>
      <c r="B9" s="53" t="s">
        <v>248</v>
      </c>
      <c r="C9" s="53" t="s">
        <v>249</v>
      </c>
      <c r="D9" s="53" t="s">
        <v>250</v>
      </c>
      <c r="E9" s="53" t="s">
        <v>69</v>
      </c>
      <c r="F9" s="6" t="s">
        <v>251</v>
      </c>
    </row>
    <row r="10" spans="1:6" ht="23.1" customHeight="1">
      <c r="A10" s="53" t="s">
        <v>56</v>
      </c>
      <c r="B10" s="53" t="s">
        <v>252</v>
      </c>
      <c r="C10" s="53" t="s">
        <v>253</v>
      </c>
      <c r="D10" s="53" t="s">
        <v>254</v>
      </c>
      <c r="E10" s="53" t="s">
        <v>69</v>
      </c>
      <c r="F10" s="6" t="s">
        <v>255</v>
      </c>
    </row>
    <row r="11" spans="1:6" ht="23.1" customHeight="1">
      <c r="A11" s="53" t="s">
        <v>58</v>
      </c>
      <c r="B11" s="53" t="s">
        <v>215</v>
      </c>
      <c r="C11" s="53" t="s">
        <v>256</v>
      </c>
      <c r="D11" s="53" t="s">
        <v>257</v>
      </c>
      <c r="E11" s="53" t="s">
        <v>69</v>
      </c>
      <c r="F11" s="6" t="s">
        <v>258</v>
      </c>
    </row>
    <row r="12" spans="1:6" ht="23.1" customHeight="1">
      <c r="A12" s="53" t="s">
        <v>62</v>
      </c>
      <c r="B12" s="53" t="s">
        <v>217</v>
      </c>
      <c r="C12" s="53" t="s">
        <v>256</v>
      </c>
      <c r="D12" s="53" t="s">
        <v>257</v>
      </c>
      <c r="E12" s="53" t="s">
        <v>69</v>
      </c>
      <c r="F12" s="6" t="s">
        <v>258</v>
      </c>
    </row>
    <row r="13" spans="1:6" ht="23.1" customHeight="1">
      <c r="A13" s="53" t="s">
        <v>66</v>
      </c>
      <c r="B13" s="53" t="s">
        <v>220</v>
      </c>
      <c r="C13" s="53" t="s">
        <v>256</v>
      </c>
      <c r="D13" s="53" t="s">
        <v>257</v>
      </c>
      <c r="E13" s="53" t="s">
        <v>69</v>
      </c>
      <c r="F13" s="6" t="s">
        <v>258</v>
      </c>
    </row>
    <row r="14" spans="1:6" ht="23.1" customHeight="1">
      <c r="A14" s="53" t="s">
        <v>68</v>
      </c>
      <c r="B14" s="53" t="s">
        <v>221</v>
      </c>
      <c r="C14" s="53" t="s">
        <v>256</v>
      </c>
      <c r="D14" s="53" t="s">
        <v>257</v>
      </c>
      <c r="E14" s="53" t="s">
        <v>69</v>
      </c>
      <c r="F14" s="6" t="s">
        <v>258</v>
      </c>
    </row>
    <row r="15" spans="1:6" ht="23.1" customHeight="1">
      <c r="A15" s="53" t="s">
        <v>74</v>
      </c>
      <c r="B15" s="53" t="s">
        <v>224</v>
      </c>
      <c r="C15" s="53" t="s">
        <v>256</v>
      </c>
      <c r="D15" s="53" t="s">
        <v>257</v>
      </c>
      <c r="E15" s="53" t="s">
        <v>69</v>
      </c>
      <c r="F15" s="6" t="s">
        <v>258</v>
      </c>
    </row>
    <row r="16" spans="1:6" ht="23.1" customHeight="1">
      <c r="A16" s="53" t="s">
        <v>78</v>
      </c>
      <c r="B16" s="53" t="s">
        <v>226</v>
      </c>
      <c r="C16" s="53" t="s">
        <v>256</v>
      </c>
      <c r="D16" s="53" t="s">
        <v>257</v>
      </c>
      <c r="E16" s="53" t="s">
        <v>69</v>
      </c>
      <c r="F16" s="6" t="s">
        <v>258</v>
      </c>
    </row>
    <row r="17" spans="1:6" ht="23.1" customHeight="1">
      <c r="A17" s="53" t="s">
        <v>82</v>
      </c>
      <c r="B17" s="53" t="s">
        <v>228</v>
      </c>
      <c r="C17" s="53" t="s">
        <v>256</v>
      </c>
      <c r="D17" s="53" t="s">
        <v>257</v>
      </c>
      <c r="E17" s="53" t="s">
        <v>69</v>
      </c>
      <c r="F17" s="6" t="s">
        <v>258</v>
      </c>
    </row>
    <row r="18" spans="1:6" ht="23.1" customHeight="1">
      <c r="A18" s="53" t="s">
        <v>84</v>
      </c>
      <c r="B18" s="53" t="s">
        <v>230</v>
      </c>
      <c r="C18" s="53" t="s">
        <v>256</v>
      </c>
      <c r="D18" s="53" t="s">
        <v>257</v>
      </c>
      <c r="E18" s="53" t="s">
        <v>69</v>
      </c>
      <c r="F18" s="6" t="s">
        <v>258</v>
      </c>
    </row>
    <row r="19" spans="1:6" ht="23.1" customHeight="1">
      <c r="A19" s="53" t="s">
        <v>88</v>
      </c>
      <c r="B19" s="53" t="s">
        <v>259</v>
      </c>
      <c r="C19" s="53" t="s">
        <v>256</v>
      </c>
      <c r="D19" s="53" t="s">
        <v>257</v>
      </c>
      <c r="E19" s="53" t="s">
        <v>69</v>
      </c>
      <c r="F19" s="6" t="s">
        <v>258</v>
      </c>
    </row>
    <row r="20" spans="1:6" ht="23.1" customHeight="1">
      <c r="A20" s="53" t="s">
        <v>90</v>
      </c>
      <c r="B20" s="53" t="s">
        <v>234</v>
      </c>
      <c r="C20" s="53" t="s">
        <v>256</v>
      </c>
      <c r="D20" s="53" t="s">
        <v>257</v>
      </c>
      <c r="E20" s="53" t="s">
        <v>69</v>
      </c>
      <c r="F20" s="6" t="s">
        <v>258</v>
      </c>
    </row>
    <row r="21" spans="1:6" ht="23.1" customHeight="1">
      <c r="A21" s="53" t="s">
        <v>92</v>
      </c>
      <c r="B21" s="53" t="s">
        <v>235</v>
      </c>
      <c r="C21" s="53" t="s">
        <v>256</v>
      </c>
      <c r="D21" s="53" t="s">
        <v>257</v>
      </c>
      <c r="E21" s="53" t="s">
        <v>69</v>
      </c>
      <c r="F21" s="6" t="s">
        <v>258</v>
      </c>
    </row>
    <row r="22" spans="1:6" ht="23.1" customHeight="1">
      <c r="A22" s="53" t="s">
        <v>94</v>
      </c>
      <c r="B22" s="53" t="s">
        <v>236</v>
      </c>
      <c r="C22" s="53" t="s">
        <v>256</v>
      </c>
      <c r="D22" s="53" t="s">
        <v>257</v>
      </c>
      <c r="E22" s="53" t="s">
        <v>69</v>
      </c>
      <c r="F22" s="6" t="s">
        <v>258</v>
      </c>
    </row>
    <row r="23" spans="1:6" ht="23.1" customHeight="1">
      <c r="A23" s="54" t="s">
        <v>97</v>
      </c>
      <c r="B23" s="54" t="s">
        <v>238</v>
      </c>
      <c r="C23" s="54" t="s">
        <v>256</v>
      </c>
      <c r="D23" s="54" t="s">
        <v>257</v>
      </c>
      <c r="E23" s="54" t="s">
        <v>69</v>
      </c>
      <c r="F23" s="7" t="s">
        <v>258</v>
      </c>
    </row>
    <row r="24" spans="1:6" ht="23.1" customHeight="1">
      <c r="A24" s="59" t="s">
        <v>99</v>
      </c>
      <c r="B24" s="59" t="s">
        <v>229</v>
      </c>
      <c r="C24" s="59" t="s">
        <v>256</v>
      </c>
      <c r="D24" s="59" t="s">
        <v>257</v>
      </c>
      <c r="E24" s="59" t="s">
        <v>69</v>
      </c>
      <c r="F24" s="58" t="s">
        <v>258</v>
      </c>
    </row>
  </sheetData>
  <mergeCells count="2">
    <mergeCell ref="A2:F2"/>
    <mergeCell ref="A3:F3"/>
  </mergeCells>
  <dataValidations count="1">
    <dataValidation type="list" sqref="E7:E24" xr:uid="{00000000-0002-0000-08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A5AF8"/>
  </sheetPr>
  <dimension ref="A2:H32"/>
  <sheetViews>
    <sheetView showGridLines="0" workbookViewId="0">
      <pane ySplit="6" topLeftCell="A24" activePane="bottomLeft" state="frozen"/>
      <selection pane="bottomLeft" activeCell="E46" sqref="E46"/>
    </sheetView>
  </sheetViews>
  <sheetFormatPr defaultRowHeight="14.25"/>
  <cols>
    <col min="1" max="1" width="14" customWidth="1"/>
    <col min="2" max="2" width="26" customWidth="1"/>
    <col min="3" max="3" width="14" customWidth="1"/>
    <col min="4" max="4" width="10" customWidth="1"/>
    <col min="5" max="5" width="20" customWidth="1"/>
    <col min="6" max="6" width="18" customWidth="1"/>
    <col min="7" max="7" width="36" customWidth="1"/>
    <col min="8" max="8" width="14" customWidth="1"/>
  </cols>
  <sheetData>
    <row r="2" spans="1:8" ht="19.5">
      <c r="A2" s="106" t="s">
        <v>260</v>
      </c>
      <c r="B2" s="109"/>
      <c r="C2" s="109"/>
      <c r="D2" s="109"/>
      <c r="E2" s="109"/>
      <c r="F2" s="109"/>
      <c r="G2" s="109"/>
      <c r="H2" s="109"/>
    </row>
    <row r="3" spans="1:8">
      <c r="A3" s="108" t="s">
        <v>261</v>
      </c>
      <c r="B3" s="109"/>
      <c r="C3" s="109"/>
      <c r="D3" s="109"/>
      <c r="E3" s="109"/>
      <c r="F3" s="109"/>
      <c r="G3" s="109"/>
      <c r="H3" s="109"/>
    </row>
    <row r="6" spans="1:8" ht="36" customHeight="1">
      <c r="A6" s="71" t="s">
        <v>41</v>
      </c>
      <c r="B6" s="72" t="s">
        <v>203</v>
      </c>
      <c r="C6" s="72" t="s">
        <v>204</v>
      </c>
      <c r="D6" s="72" t="s">
        <v>47</v>
      </c>
      <c r="E6" s="72" t="s">
        <v>205</v>
      </c>
      <c r="F6" s="72" t="s">
        <v>206</v>
      </c>
      <c r="G6" s="72" t="s">
        <v>49</v>
      </c>
      <c r="H6" s="73" t="s">
        <v>154</v>
      </c>
    </row>
    <row r="7" spans="1:8" ht="23.1" customHeight="1">
      <c r="A7" s="5" t="s">
        <v>52</v>
      </c>
      <c r="B7" s="74" t="s">
        <v>262</v>
      </c>
      <c r="C7" s="77">
        <v>46237</v>
      </c>
      <c r="D7" s="74" t="s">
        <v>69</v>
      </c>
      <c r="E7" s="74" t="s">
        <v>208</v>
      </c>
      <c r="F7" s="74" t="s">
        <v>69</v>
      </c>
      <c r="G7" s="74" t="s">
        <v>263</v>
      </c>
      <c r="H7" s="5" t="s">
        <v>210</v>
      </c>
    </row>
    <row r="8" spans="1:8" ht="23.1" customHeight="1">
      <c r="A8" s="6" t="s">
        <v>102</v>
      </c>
      <c r="B8" s="75" t="s">
        <v>262</v>
      </c>
      <c r="C8" s="78">
        <v>46239</v>
      </c>
      <c r="D8" s="75" t="s">
        <v>69</v>
      </c>
      <c r="E8" s="75" t="s">
        <v>211</v>
      </c>
      <c r="F8" s="75" t="s">
        <v>69</v>
      </c>
      <c r="G8" s="75" t="s">
        <v>263</v>
      </c>
      <c r="H8" s="6" t="s">
        <v>210</v>
      </c>
    </row>
    <row r="9" spans="1:8" ht="23.1" customHeight="1">
      <c r="A9" s="6" t="s">
        <v>56</v>
      </c>
      <c r="B9" s="75" t="s">
        <v>262</v>
      </c>
      <c r="C9" s="78">
        <v>46190</v>
      </c>
      <c r="D9" s="75" t="s">
        <v>69</v>
      </c>
      <c r="E9" s="75" t="s">
        <v>213</v>
      </c>
      <c r="F9" s="75" t="s">
        <v>69</v>
      </c>
      <c r="G9" s="75" t="s">
        <v>263</v>
      </c>
      <c r="H9" s="6" t="s">
        <v>210</v>
      </c>
    </row>
    <row r="10" spans="1:8" ht="23.1" customHeight="1">
      <c r="A10" s="6" t="s">
        <v>58</v>
      </c>
      <c r="B10" s="75" t="s">
        <v>262</v>
      </c>
      <c r="C10" s="78">
        <v>46190</v>
      </c>
      <c r="D10" s="75" t="s">
        <v>69</v>
      </c>
      <c r="E10" s="75" t="s">
        <v>215</v>
      </c>
      <c r="F10" s="75" t="s">
        <v>69</v>
      </c>
      <c r="G10" s="75" t="s">
        <v>263</v>
      </c>
      <c r="H10" s="6" t="s">
        <v>210</v>
      </c>
    </row>
    <row r="11" spans="1:8" ht="23.1" customHeight="1">
      <c r="A11" s="6" t="s">
        <v>62</v>
      </c>
      <c r="B11" s="75" t="s">
        <v>262</v>
      </c>
      <c r="C11" s="78">
        <v>46183</v>
      </c>
      <c r="D11" s="75" t="s">
        <v>69</v>
      </c>
      <c r="E11" s="75" t="s">
        <v>217</v>
      </c>
      <c r="F11" s="75" t="s">
        <v>69</v>
      </c>
      <c r="G11" s="75" t="s">
        <v>263</v>
      </c>
      <c r="H11" s="6" t="s">
        <v>210</v>
      </c>
    </row>
    <row r="12" spans="1:8" ht="23.1" customHeight="1">
      <c r="A12" s="6" t="s">
        <v>64</v>
      </c>
      <c r="B12" s="75" t="s">
        <v>262</v>
      </c>
      <c r="C12" s="78">
        <v>46175</v>
      </c>
      <c r="D12" s="75" t="s">
        <v>69</v>
      </c>
      <c r="E12" s="75" t="s">
        <v>264</v>
      </c>
      <c r="F12" s="75" t="s">
        <v>69</v>
      </c>
      <c r="G12" s="75" t="s">
        <v>263</v>
      </c>
      <c r="H12" s="6" t="s">
        <v>210</v>
      </c>
    </row>
    <row r="13" spans="1:8" ht="23.1" customHeight="1">
      <c r="A13" s="6" t="s">
        <v>106</v>
      </c>
      <c r="B13" s="75" t="s">
        <v>262</v>
      </c>
      <c r="C13" s="78">
        <v>46239</v>
      </c>
      <c r="D13" s="75" t="s">
        <v>69</v>
      </c>
      <c r="E13" s="75" t="s">
        <v>219</v>
      </c>
      <c r="F13" s="75" t="s">
        <v>69</v>
      </c>
      <c r="G13" s="75" t="s">
        <v>263</v>
      </c>
      <c r="H13" s="6" t="s">
        <v>210</v>
      </c>
    </row>
    <row r="14" spans="1:8" ht="23.1" customHeight="1">
      <c r="A14" s="6" t="s">
        <v>66</v>
      </c>
      <c r="B14" s="75" t="s">
        <v>262</v>
      </c>
      <c r="C14" s="78">
        <v>46195</v>
      </c>
      <c r="D14" s="75" t="s">
        <v>69</v>
      </c>
      <c r="E14" s="75" t="s">
        <v>220</v>
      </c>
      <c r="F14" s="75" t="s">
        <v>69</v>
      </c>
      <c r="G14" s="75" t="s">
        <v>263</v>
      </c>
      <c r="H14" s="6" t="s">
        <v>210</v>
      </c>
    </row>
    <row r="15" spans="1:8" ht="23.1" customHeight="1">
      <c r="A15" s="6" t="s">
        <v>68</v>
      </c>
      <c r="B15" s="75" t="s">
        <v>262</v>
      </c>
      <c r="C15" s="78">
        <v>46191</v>
      </c>
      <c r="D15" s="75" t="s">
        <v>69</v>
      </c>
      <c r="E15" s="75" t="s">
        <v>221</v>
      </c>
      <c r="F15" s="75" t="s">
        <v>69</v>
      </c>
      <c r="G15" s="75" t="s">
        <v>263</v>
      </c>
      <c r="H15" s="6" t="s">
        <v>210</v>
      </c>
    </row>
    <row r="16" spans="1:8" ht="23.1" customHeight="1">
      <c r="A16" s="6" t="s">
        <v>71</v>
      </c>
      <c r="B16" s="75" t="s">
        <v>262</v>
      </c>
      <c r="C16" s="78">
        <v>46189</v>
      </c>
      <c r="D16" s="75" t="s">
        <v>69</v>
      </c>
      <c r="E16" s="75" t="s">
        <v>222</v>
      </c>
      <c r="F16" s="75" t="s">
        <v>69</v>
      </c>
      <c r="G16" s="75" t="s">
        <v>263</v>
      </c>
      <c r="H16" s="6" t="s">
        <v>210</v>
      </c>
    </row>
    <row r="17" spans="1:8" ht="23.1" customHeight="1">
      <c r="A17" s="6" t="s">
        <v>73</v>
      </c>
      <c r="B17" s="75" t="s">
        <v>262</v>
      </c>
      <c r="C17" s="78">
        <v>46203</v>
      </c>
      <c r="D17" s="75" t="s">
        <v>69</v>
      </c>
      <c r="E17" s="75" t="s">
        <v>223</v>
      </c>
      <c r="F17" s="75" t="s">
        <v>69</v>
      </c>
      <c r="G17" s="75" t="s">
        <v>263</v>
      </c>
      <c r="H17" s="6" t="s">
        <v>210</v>
      </c>
    </row>
    <row r="18" spans="1:8" ht="23.1" customHeight="1">
      <c r="A18" s="6" t="s">
        <v>74</v>
      </c>
      <c r="B18" s="75" t="s">
        <v>262</v>
      </c>
      <c r="C18" s="78">
        <v>46192</v>
      </c>
      <c r="D18" s="75" t="s">
        <v>69</v>
      </c>
      <c r="E18" s="75" t="s">
        <v>224</v>
      </c>
      <c r="F18" s="75" t="s">
        <v>69</v>
      </c>
      <c r="G18" s="75" t="s">
        <v>263</v>
      </c>
      <c r="H18" s="6" t="s">
        <v>210</v>
      </c>
    </row>
    <row r="19" spans="1:8" ht="23.1" customHeight="1">
      <c r="A19" s="6" t="s">
        <v>76</v>
      </c>
      <c r="B19" s="75" t="s">
        <v>262</v>
      </c>
      <c r="C19" s="78">
        <v>46253</v>
      </c>
      <c r="D19" s="75" t="s">
        <v>69</v>
      </c>
      <c r="E19" s="75" t="s">
        <v>225</v>
      </c>
      <c r="F19" s="75" t="s">
        <v>69</v>
      </c>
      <c r="G19" s="75" t="s">
        <v>263</v>
      </c>
      <c r="H19" s="6" t="s">
        <v>210</v>
      </c>
    </row>
    <row r="20" spans="1:8" ht="23.1" customHeight="1">
      <c r="A20" s="6" t="s">
        <v>78</v>
      </c>
      <c r="B20" s="75" t="s">
        <v>262</v>
      </c>
      <c r="C20" s="78">
        <v>46171</v>
      </c>
      <c r="D20" s="75" t="s">
        <v>69</v>
      </c>
      <c r="E20" s="75" t="s">
        <v>226</v>
      </c>
      <c r="F20" s="75" t="s">
        <v>69</v>
      </c>
      <c r="G20" s="75" t="s">
        <v>263</v>
      </c>
      <c r="H20" s="6" t="s">
        <v>210</v>
      </c>
    </row>
    <row r="21" spans="1:8" ht="23.1" customHeight="1">
      <c r="A21" s="6" t="s">
        <v>80</v>
      </c>
      <c r="B21" s="75" t="s">
        <v>262</v>
      </c>
      <c r="C21" s="78">
        <v>46192</v>
      </c>
      <c r="D21" s="75" t="s">
        <v>69</v>
      </c>
      <c r="E21" s="75" t="s">
        <v>227</v>
      </c>
      <c r="F21" s="75" t="s">
        <v>69</v>
      </c>
      <c r="G21" s="75" t="s">
        <v>263</v>
      </c>
      <c r="H21" s="6" t="s">
        <v>210</v>
      </c>
    </row>
    <row r="22" spans="1:8" ht="23.1" customHeight="1">
      <c r="A22" s="6" t="s">
        <v>82</v>
      </c>
      <c r="B22" s="75" t="s">
        <v>262</v>
      </c>
      <c r="C22" s="78">
        <v>46189</v>
      </c>
      <c r="D22" s="75" t="s">
        <v>69</v>
      </c>
      <c r="E22" s="75" t="s">
        <v>228</v>
      </c>
      <c r="F22" s="75" t="s">
        <v>69</v>
      </c>
      <c r="G22" s="75" t="s">
        <v>263</v>
      </c>
      <c r="H22" s="6" t="s">
        <v>210</v>
      </c>
    </row>
    <row r="23" spans="1:8" ht="23.1" customHeight="1">
      <c r="A23" s="6" t="s">
        <v>99</v>
      </c>
      <c r="B23" s="75" t="s">
        <v>262</v>
      </c>
      <c r="C23" s="78">
        <v>46202</v>
      </c>
      <c r="D23" s="75" t="s">
        <v>69</v>
      </c>
      <c r="E23" s="75" t="s">
        <v>229</v>
      </c>
      <c r="F23" s="75" t="s">
        <v>69</v>
      </c>
      <c r="G23" s="75" t="s">
        <v>263</v>
      </c>
      <c r="H23" s="6" t="s">
        <v>210</v>
      </c>
    </row>
    <row r="24" spans="1:8" ht="23.1" customHeight="1">
      <c r="A24" s="6" t="s">
        <v>84</v>
      </c>
      <c r="B24" s="75" t="s">
        <v>262</v>
      </c>
      <c r="C24" s="78">
        <v>46205</v>
      </c>
      <c r="D24" s="75" t="s">
        <v>69</v>
      </c>
      <c r="E24" s="75" t="s">
        <v>230</v>
      </c>
      <c r="F24" s="75" t="s">
        <v>69</v>
      </c>
      <c r="G24" s="75" t="s">
        <v>263</v>
      </c>
      <c r="H24" s="6" t="s">
        <v>210</v>
      </c>
    </row>
    <row r="25" spans="1:8" ht="23.1" customHeight="1">
      <c r="A25" s="6" t="s">
        <v>108</v>
      </c>
      <c r="B25" s="75" t="s">
        <v>262</v>
      </c>
      <c r="C25" s="78">
        <v>46210</v>
      </c>
      <c r="D25" s="75" t="s">
        <v>69</v>
      </c>
      <c r="E25" s="75" t="s">
        <v>231</v>
      </c>
      <c r="F25" s="75" t="s">
        <v>69</v>
      </c>
      <c r="G25" s="75" t="s">
        <v>263</v>
      </c>
      <c r="H25" s="6" t="s">
        <v>210</v>
      </c>
    </row>
    <row r="26" spans="1:8" ht="23.1" customHeight="1">
      <c r="A26" s="6" t="s">
        <v>86</v>
      </c>
      <c r="B26" s="75" t="s">
        <v>262</v>
      </c>
      <c r="C26" s="78">
        <v>46205</v>
      </c>
      <c r="D26" s="75" t="s">
        <v>69</v>
      </c>
      <c r="E26" s="75" t="s">
        <v>232</v>
      </c>
      <c r="F26" s="75" t="s">
        <v>69</v>
      </c>
      <c r="G26" s="75" t="s">
        <v>263</v>
      </c>
      <c r="H26" s="6" t="s">
        <v>210</v>
      </c>
    </row>
    <row r="27" spans="1:8" ht="23.1" customHeight="1">
      <c r="A27" s="6" t="s">
        <v>88</v>
      </c>
      <c r="B27" s="75" t="s">
        <v>262</v>
      </c>
      <c r="C27" s="78">
        <v>46190</v>
      </c>
      <c r="D27" s="75" t="s">
        <v>69</v>
      </c>
      <c r="E27" s="75" t="s">
        <v>259</v>
      </c>
      <c r="F27" s="75" t="s">
        <v>69</v>
      </c>
      <c r="G27" s="75" t="s">
        <v>263</v>
      </c>
      <c r="H27" s="6" t="s">
        <v>210</v>
      </c>
    </row>
    <row r="28" spans="1:8" ht="23.1" customHeight="1">
      <c r="A28" s="6" t="s">
        <v>90</v>
      </c>
      <c r="B28" s="75" t="s">
        <v>262</v>
      </c>
      <c r="C28" s="78">
        <v>46195</v>
      </c>
      <c r="D28" s="75" t="s">
        <v>69</v>
      </c>
      <c r="E28" s="75" t="s">
        <v>234</v>
      </c>
      <c r="F28" s="75" t="s">
        <v>69</v>
      </c>
      <c r="G28" s="75" t="s">
        <v>263</v>
      </c>
      <c r="H28" s="6" t="s">
        <v>210</v>
      </c>
    </row>
    <row r="29" spans="1:8" ht="23.1" customHeight="1">
      <c r="A29" s="6" t="s">
        <v>92</v>
      </c>
      <c r="B29" s="75" t="s">
        <v>262</v>
      </c>
      <c r="C29" s="78">
        <v>46197</v>
      </c>
      <c r="D29" s="75" t="s">
        <v>69</v>
      </c>
      <c r="E29" s="75" t="s">
        <v>235</v>
      </c>
      <c r="F29" s="75" t="s">
        <v>69</v>
      </c>
      <c r="G29" s="75" t="s">
        <v>263</v>
      </c>
      <c r="H29" s="6" t="s">
        <v>210</v>
      </c>
    </row>
    <row r="30" spans="1:8" ht="23.1" customHeight="1">
      <c r="A30" s="6" t="s">
        <v>94</v>
      </c>
      <c r="B30" s="75" t="s">
        <v>262</v>
      </c>
      <c r="C30" s="78">
        <v>46192</v>
      </c>
      <c r="D30" s="75" t="s">
        <v>69</v>
      </c>
      <c r="E30" s="75" t="s">
        <v>236</v>
      </c>
      <c r="F30" s="75" t="s">
        <v>69</v>
      </c>
      <c r="G30" s="75" t="s">
        <v>263</v>
      </c>
      <c r="H30" s="6" t="s">
        <v>210</v>
      </c>
    </row>
    <row r="31" spans="1:8" ht="23.1" customHeight="1">
      <c r="A31" s="6" t="s">
        <v>96</v>
      </c>
      <c r="B31" s="75" t="s">
        <v>262</v>
      </c>
      <c r="C31" s="78">
        <v>46189</v>
      </c>
      <c r="D31" s="75" t="s">
        <v>69</v>
      </c>
      <c r="E31" s="75" t="s">
        <v>237</v>
      </c>
      <c r="F31" s="75" t="s">
        <v>69</v>
      </c>
      <c r="G31" s="75" t="s">
        <v>263</v>
      </c>
      <c r="H31" s="6" t="s">
        <v>210</v>
      </c>
    </row>
    <row r="32" spans="1:8" ht="23.1" customHeight="1">
      <c r="A32" s="7" t="s">
        <v>97</v>
      </c>
      <c r="B32" s="76" t="s">
        <v>262</v>
      </c>
      <c r="C32" s="79">
        <v>46191</v>
      </c>
      <c r="D32" s="76" t="s">
        <v>69</v>
      </c>
      <c r="E32" s="76" t="s">
        <v>238</v>
      </c>
      <c r="F32" s="76" t="s">
        <v>69</v>
      </c>
      <c r="G32" s="76" t="s">
        <v>263</v>
      </c>
      <c r="H32" s="7" t="s">
        <v>210</v>
      </c>
    </row>
  </sheetData>
  <mergeCells count="2">
    <mergeCell ref="A2:H2"/>
    <mergeCell ref="A3:H3"/>
  </mergeCells>
  <dataValidations count="1">
    <dataValidation type="list" sqref="D7:D32 F7:F32" xr:uid="{00000000-0002-0000-09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3B"/>
  </sheetPr>
  <dimension ref="A2:Q32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2" width="14" customWidth="1"/>
    <col min="3" max="6" width="18" customWidth="1"/>
    <col min="7" max="7" width="28" customWidth="1"/>
    <col min="8" max="10" width="14" customWidth="1"/>
    <col min="11" max="11" width="20" customWidth="1"/>
    <col min="12" max="13" width="16" customWidth="1"/>
    <col min="14" max="14" width="10" customWidth="1"/>
    <col min="15" max="15" width="48" customWidth="1"/>
    <col min="16" max="16" width="22" customWidth="1"/>
    <col min="17" max="17" width="16" customWidth="1"/>
  </cols>
  <sheetData>
    <row r="2" spans="1:17" ht="19.5">
      <c r="A2" s="106" t="s">
        <v>265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</row>
    <row r="3" spans="1:17">
      <c r="A3" s="108" t="s">
        <v>266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</row>
    <row r="6" spans="1:17" ht="36" customHeight="1">
      <c r="A6" s="71" t="s">
        <v>41</v>
      </c>
      <c r="B6" s="72" t="s">
        <v>182</v>
      </c>
      <c r="C6" s="72" t="s">
        <v>183</v>
      </c>
      <c r="D6" s="72" t="s">
        <v>184</v>
      </c>
      <c r="E6" s="72" t="s">
        <v>185</v>
      </c>
      <c r="F6" s="72" t="s">
        <v>186</v>
      </c>
      <c r="G6" s="72" t="s">
        <v>187</v>
      </c>
      <c r="H6" s="72" t="s">
        <v>188</v>
      </c>
      <c r="I6" s="72" t="s">
        <v>189</v>
      </c>
      <c r="J6" s="72" t="s">
        <v>190</v>
      </c>
      <c r="K6" s="72" t="s">
        <v>191</v>
      </c>
      <c r="L6" s="72" t="s">
        <v>45</v>
      </c>
      <c r="M6" s="72" t="s">
        <v>46</v>
      </c>
      <c r="N6" s="72" t="s">
        <v>47</v>
      </c>
      <c r="O6" s="72" t="s">
        <v>49</v>
      </c>
      <c r="P6" s="72" t="s">
        <v>154</v>
      </c>
      <c r="Q6" s="73" t="s">
        <v>51</v>
      </c>
    </row>
    <row r="7" spans="1:17" ht="23.1" customHeight="1">
      <c r="A7" s="5" t="s">
        <v>52</v>
      </c>
      <c r="B7" s="5" t="s">
        <v>192</v>
      </c>
      <c r="C7" s="74" t="s">
        <v>155</v>
      </c>
      <c r="D7" s="74" t="s">
        <v>267</v>
      </c>
      <c r="E7" s="80"/>
      <c r="F7" s="80"/>
      <c r="G7" s="74" t="s">
        <v>268</v>
      </c>
      <c r="H7" s="74"/>
      <c r="I7" s="80"/>
      <c r="J7" s="74">
        <v>24</v>
      </c>
      <c r="K7" s="74">
        <v>0</v>
      </c>
      <c r="L7" s="77">
        <v>46237</v>
      </c>
      <c r="M7" s="77"/>
      <c r="N7" s="74" t="s">
        <v>69</v>
      </c>
      <c r="O7" s="74" t="s">
        <v>269</v>
      </c>
      <c r="P7" s="5" t="str">
        <f t="shared" ref="P7:P32" si="0">IF(N7&lt;&gt;"Sim","Inativa",IF(OR(A7="",B7="",C7="",D7="",G7="",L7=""),"Configuração incompleta",IF(AND(G7="Dia útil + hora",OR(H7="",I7="")),"Prazo incompleto",IF(AND(G7="Horas úteis",J7=""),"Horas úteis ausentes","Regra ativa"))))</f>
        <v>Regra ativa</v>
      </c>
      <c r="Q7" s="74" t="s">
        <v>55</v>
      </c>
    </row>
    <row r="8" spans="1:17" ht="23.1" customHeight="1">
      <c r="A8" s="6" t="s">
        <v>102</v>
      </c>
      <c r="B8" s="6" t="s">
        <v>192</v>
      </c>
      <c r="C8" s="75" t="s">
        <v>155</v>
      </c>
      <c r="D8" s="75" t="s">
        <v>267</v>
      </c>
      <c r="E8" s="81"/>
      <c r="F8" s="81"/>
      <c r="G8" s="75" t="s">
        <v>268</v>
      </c>
      <c r="H8" s="75"/>
      <c r="I8" s="81"/>
      <c r="J8" s="75">
        <v>24</v>
      </c>
      <c r="K8" s="75">
        <v>0</v>
      </c>
      <c r="L8" s="78">
        <v>46239</v>
      </c>
      <c r="M8" s="78"/>
      <c r="N8" s="75" t="s">
        <v>69</v>
      </c>
      <c r="O8" s="75" t="s">
        <v>269</v>
      </c>
      <c r="P8" s="6" t="str">
        <f t="shared" si="0"/>
        <v>Regra ativa</v>
      </c>
      <c r="Q8" s="75" t="s">
        <v>55</v>
      </c>
    </row>
    <row r="9" spans="1:17" ht="23.1" customHeight="1">
      <c r="A9" s="6" t="s">
        <v>56</v>
      </c>
      <c r="B9" s="6" t="s">
        <v>192</v>
      </c>
      <c r="C9" s="75" t="s">
        <v>155</v>
      </c>
      <c r="D9" s="75" t="s">
        <v>267</v>
      </c>
      <c r="E9" s="81"/>
      <c r="F9" s="81"/>
      <c r="G9" s="75" t="s">
        <v>268</v>
      </c>
      <c r="H9" s="75"/>
      <c r="I9" s="81"/>
      <c r="J9" s="75">
        <v>24</v>
      </c>
      <c r="K9" s="75">
        <v>0</v>
      </c>
      <c r="L9" s="78">
        <v>46190</v>
      </c>
      <c r="M9" s="78"/>
      <c r="N9" s="75" t="s">
        <v>69</v>
      </c>
      <c r="O9" s="75" t="s">
        <v>269</v>
      </c>
      <c r="P9" s="6" t="str">
        <f t="shared" si="0"/>
        <v>Regra ativa</v>
      </c>
      <c r="Q9" s="75" t="s">
        <v>55</v>
      </c>
    </row>
    <row r="10" spans="1:17" ht="23.1" customHeight="1">
      <c r="A10" s="6" t="s">
        <v>58</v>
      </c>
      <c r="B10" s="6" t="s">
        <v>192</v>
      </c>
      <c r="C10" s="75" t="s">
        <v>155</v>
      </c>
      <c r="D10" s="75" t="s">
        <v>267</v>
      </c>
      <c r="E10" s="81"/>
      <c r="F10" s="81"/>
      <c r="G10" s="75" t="s">
        <v>268</v>
      </c>
      <c r="H10" s="75"/>
      <c r="I10" s="81"/>
      <c r="J10" s="75">
        <v>24</v>
      </c>
      <c r="K10" s="75">
        <v>0</v>
      </c>
      <c r="L10" s="78">
        <v>46190</v>
      </c>
      <c r="M10" s="78"/>
      <c r="N10" s="75" t="s">
        <v>69</v>
      </c>
      <c r="O10" s="75" t="s">
        <v>269</v>
      </c>
      <c r="P10" s="6" t="str">
        <f t="shared" si="0"/>
        <v>Regra ativa</v>
      </c>
      <c r="Q10" s="75" t="s">
        <v>55</v>
      </c>
    </row>
    <row r="11" spans="1:17" ht="23.1" customHeight="1">
      <c r="A11" s="6" t="s">
        <v>62</v>
      </c>
      <c r="B11" s="6" t="s">
        <v>192</v>
      </c>
      <c r="C11" s="75" t="s">
        <v>155</v>
      </c>
      <c r="D11" s="75" t="s">
        <v>267</v>
      </c>
      <c r="E11" s="81"/>
      <c r="F11" s="81"/>
      <c r="G11" s="75" t="s">
        <v>268</v>
      </c>
      <c r="H11" s="75"/>
      <c r="I11" s="81"/>
      <c r="J11" s="75">
        <v>24</v>
      </c>
      <c r="K11" s="75">
        <v>0</v>
      </c>
      <c r="L11" s="78">
        <v>46183</v>
      </c>
      <c r="M11" s="78"/>
      <c r="N11" s="75" t="s">
        <v>69</v>
      </c>
      <c r="O11" s="75" t="s">
        <v>269</v>
      </c>
      <c r="P11" s="6" t="str">
        <f t="shared" si="0"/>
        <v>Regra ativa</v>
      </c>
      <c r="Q11" s="75" t="s">
        <v>55</v>
      </c>
    </row>
    <row r="12" spans="1:17" ht="23.1" customHeight="1">
      <c r="A12" s="6" t="s">
        <v>64</v>
      </c>
      <c r="B12" s="6" t="s">
        <v>192</v>
      </c>
      <c r="C12" s="75" t="s">
        <v>155</v>
      </c>
      <c r="D12" s="75" t="s">
        <v>267</v>
      </c>
      <c r="E12" s="81"/>
      <c r="F12" s="81"/>
      <c r="G12" s="75" t="s">
        <v>268</v>
      </c>
      <c r="H12" s="75"/>
      <c r="I12" s="81"/>
      <c r="J12" s="75">
        <v>24</v>
      </c>
      <c r="K12" s="75">
        <v>0</v>
      </c>
      <c r="L12" s="78">
        <v>46175</v>
      </c>
      <c r="M12" s="78"/>
      <c r="N12" s="75" t="s">
        <v>69</v>
      </c>
      <c r="O12" s="75" t="s">
        <v>269</v>
      </c>
      <c r="P12" s="6" t="str">
        <f t="shared" si="0"/>
        <v>Regra ativa</v>
      </c>
      <c r="Q12" s="75" t="s">
        <v>55</v>
      </c>
    </row>
    <row r="13" spans="1:17" ht="23.1" customHeight="1">
      <c r="A13" s="6" t="s">
        <v>106</v>
      </c>
      <c r="B13" s="6" t="s">
        <v>192</v>
      </c>
      <c r="C13" s="75" t="s">
        <v>155</v>
      </c>
      <c r="D13" s="75" t="s">
        <v>267</v>
      </c>
      <c r="E13" s="81"/>
      <c r="F13" s="81"/>
      <c r="G13" s="75" t="s">
        <v>268</v>
      </c>
      <c r="H13" s="75"/>
      <c r="I13" s="81"/>
      <c r="J13" s="75">
        <v>24</v>
      </c>
      <c r="K13" s="75">
        <v>0</v>
      </c>
      <c r="L13" s="78">
        <v>46239</v>
      </c>
      <c r="M13" s="78"/>
      <c r="N13" s="75" t="s">
        <v>69</v>
      </c>
      <c r="O13" s="75" t="s">
        <v>269</v>
      </c>
      <c r="P13" s="6" t="str">
        <f t="shared" si="0"/>
        <v>Regra ativa</v>
      </c>
      <c r="Q13" s="75" t="s">
        <v>55</v>
      </c>
    </row>
    <row r="14" spans="1:17" ht="23.1" customHeight="1">
      <c r="A14" s="6" t="s">
        <v>66</v>
      </c>
      <c r="B14" s="6" t="s">
        <v>192</v>
      </c>
      <c r="C14" s="75" t="s">
        <v>155</v>
      </c>
      <c r="D14" s="75" t="s">
        <v>267</v>
      </c>
      <c r="E14" s="81"/>
      <c r="F14" s="81"/>
      <c r="G14" s="75" t="s">
        <v>268</v>
      </c>
      <c r="H14" s="75"/>
      <c r="I14" s="81"/>
      <c r="J14" s="75">
        <v>24</v>
      </c>
      <c r="K14" s="75">
        <v>0</v>
      </c>
      <c r="L14" s="78">
        <v>46195</v>
      </c>
      <c r="M14" s="78"/>
      <c r="N14" s="75" t="s">
        <v>69</v>
      </c>
      <c r="O14" s="75" t="s">
        <v>269</v>
      </c>
      <c r="P14" s="6" t="str">
        <f t="shared" si="0"/>
        <v>Regra ativa</v>
      </c>
      <c r="Q14" s="75" t="s">
        <v>55</v>
      </c>
    </row>
    <row r="15" spans="1:17" ht="23.1" customHeight="1">
      <c r="A15" s="6" t="s">
        <v>68</v>
      </c>
      <c r="B15" s="6" t="s">
        <v>192</v>
      </c>
      <c r="C15" s="75" t="s">
        <v>155</v>
      </c>
      <c r="D15" s="75" t="s">
        <v>267</v>
      </c>
      <c r="E15" s="81"/>
      <c r="F15" s="81"/>
      <c r="G15" s="75" t="s">
        <v>268</v>
      </c>
      <c r="H15" s="75"/>
      <c r="I15" s="81"/>
      <c r="J15" s="75">
        <v>24</v>
      </c>
      <c r="K15" s="75">
        <v>0</v>
      </c>
      <c r="L15" s="78">
        <v>46191</v>
      </c>
      <c r="M15" s="78"/>
      <c r="N15" s="75" t="s">
        <v>69</v>
      </c>
      <c r="O15" s="75" t="s">
        <v>269</v>
      </c>
      <c r="P15" s="6" t="str">
        <f t="shared" si="0"/>
        <v>Regra ativa</v>
      </c>
      <c r="Q15" s="75" t="s">
        <v>55</v>
      </c>
    </row>
    <row r="16" spans="1:17" ht="23.1" customHeight="1">
      <c r="A16" s="6" t="s">
        <v>71</v>
      </c>
      <c r="B16" s="6" t="s">
        <v>192</v>
      </c>
      <c r="C16" s="75" t="s">
        <v>155</v>
      </c>
      <c r="D16" s="75" t="s">
        <v>267</v>
      </c>
      <c r="E16" s="81"/>
      <c r="F16" s="81"/>
      <c r="G16" s="75" t="s">
        <v>268</v>
      </c>
      <c r="H16" s="75"/>
      <c r="I16" s="81"/>
      <c r="J16" s="75">
        <v>24</v>
      </c>
      <c r="K16" s="75">
        <v>0</v>
      </c>
      <c r="L16" s="78">
        <v>46189</v>
      </c>
      <c r="M16" s="78"/>
      <c r="N16" s="75" t="s">
        <v>69</v>
      </c>
      <c r="O16" s="75" t="s">
        <v>269</v>
      </c>
      <c r="P16" s="6" t="str">
        <f t="shared" si="0"/>
        <v>Regra ativa</v>
      </c>
      <c r="Q16" s="75" t="s">
        <v>55</v>
      </c>
    </row>
    <row r="17" spans="1:17" ht="23.1" customHeight="1">
      <c r="A17" s="6" t="s">
        <v>73</v>
      </c>
      <c r="B17" s="6" t="s">
        <v>192</v>
      </c>
      <c r="C17" s="75" t="s">
        <v>155</v>
      </c>
      <c r="D17" s="75" t="s">
        <v>267</v>
      </c>
      <c r="E17" s="81"/>
      <c r="F17" s="81"/>
      <c r="G17" s="75" t="s">
        <v>268</v>
      </c>
      <c r="H17" s="75"/>
      <c r="I17" s="81"/>
      <c r="J17" s="75">
        <v>24</v>
      </c>
      <c r="K17" s="75">
        <v>0</v>
      </c>
      <c r="L17" s="78">
        <v>46203</v>
      </c>
      <c r="M17" s="78"/>
      <c r="N17" s="75" t="s">
        <v>69</v>
      </c>
      <c r="O17" s="75" t="s">
        <v>269</v>
      </c>
      <c r="P17" s="6" t="str">
        <f t="shared" si="0"/>
        <v>Regra ativa</v>
      </c>
      <c r="Q17" s="75" t="s">
        <v>55</v>
      </c>
    </row>
    <row r="18" spans="1:17" ht="23.1" customHeight="1">
      <c r="A18" s="6" t="s">
        <v>74</v>
      </c>
      <c r="B18" s="6" t="s">
        <v>192</v>
      </c>
      <c r="C18" s="75" t="s">
        <v>155</v>
      </c>
      <c r="D18" s="75" t="s">
        <v>267</v>
      </c>
      <c r="E18" s="81"/>
      <c r="F18" s="81"/>
      <c r="G18" s="75" t="s">
        <v>268</v>
      </c>
      <c r="H18" s="75"/>
      <c r="I18" s="81"/>
      <c r="J18" s="75">
        <v>24</v>
      </c>
      <c r="K18" s="75">
        <v>0</v>
      </c>
      <c r="L18" s="78">
        <v>46192</v>
      </c>
      <c r="M18" s="78"/>
      <c r="N18" s="75" t="s">
        <v>69</v>
      </c>
      <c r="O18" s="75" t="s">
        <v>269</v>
      </c>
      <c r="P18" s="6" t="str">
        <f t="shared" si="0"/>
        <v>Regra ativa</v>
      </c>
      <c r="Q18" s="75" t="s">
        <v>55</v>
      </c>
    </row>
    <row r="19" spans="1:17" ht="23.1" customHeight="1">
      <c r="A19" s="6" t="s">
        <v>76</v>
      </c>
      <c r="B19" s="6" t="s">
        <v>192</v>
      </c>
      <c r="C19" s="75" t="s">
        <v>155</v>
      </c>
      <c r="D19" s="75" t="s">
        <v>267</v>
      </c>
      <c r="E19" s="81"/>
      <c r="F19" s="81"/>
      <c r="G19" s="75" t="s">
        <v>268</v>
      </c>
      <c r="H19" s="75"/>
      <c r="I19" s="81"/>
      <c r="J19" s="75">
        <v>24</v>
      </c>
      <c r="K19" s="75">
        <v>0</v>
      </c>
      <c r="L19" s="78">
        <v>46253</v>
      </c>
      <c r="M19" s="78"/>
      <c r="N19" s="75" t="s">
        <v>69</v>
      </c>
      <c r="O19" s="75" t="s">
        <v>269</v>
      </c>
      <c r="P19" s="6" t="str">
        <f t="shared" si="0"/>
        <v>Regra ativa</v>
      </c>
      <c r="Q19" s="75" t="s">
        <v>55</v>
      </c>
    </row>
    <row r="20" spans="1:17" ht="23.1" customHeight="1">
      <c r="A20" s="6" t="s">
        <v>78</v>
      </c>
      <c r="B20" s="6" t="s">
        <v>192</v>
      </c>
      <c r="C20" s="75" t="s">
        <v>155</v>
      </c>
      <c r="D20" s="75" t="s">
        <v>267</v>
      </c>
      <c r="E20" s="81"/>
      <c r="F20" s="81"/>
      <c r="G20" s="75" t="s">
        <v>268</v>
      </c>
      <c r="H20" s="75"/>
      <c r="I20" s="81"/>
      <c r="J20" s="75">
        <v>24</v>
      </c>
      <c r="K20" s="75">
        <v>0</v>
      </c>
      <c r="L20" s="78">
        <v>46171</v>
      </c>
      <c r="M20" s="78"/>
      <c r="N20" s="75" t="s">
        <v>69</v>
      </c>
      <c r="O20" s="75" t="s">
        <v>269</v>
      </c>
      <c r="P20" s="6" t="str">
        <f t="shared" si="0"/>
        <v>Regra ativa</v>
      </c>
      <c r="Q20" s="75" t="s">
        <v>55</v>
      </c>
    </row>
    <row r="21" spans="1:17" ht="23.1" customHeight="1">
      <c r="A21" s="6" t="s">
        <v>80</v>
      </c>
      <c r="B21" s="6" t="s">
        <v>192</v>
      </c>
      <c r="C21" s="75" t="s">
        <v>155</v>
      </c>
      <c r="D21" s="75" t="s">
        <v>267</v>
      </c>
      <c r="E21" s="81"/>
      <c r="F21" s="81"/>
      <c r="G21" s="75" t="s">
        <v>268</v>
      </c>
      <c r="H21" s="75"/>
      <c r="I21" s="81"/>
      <c r="J21" s="75">
        <v>24</v>
      </c>
      <c r="K21" s="75">
        <v>0</v>
      </c>
      <c r="L21" s="78">
        <v>46192</v>
      </c>
      <c r="M21" s="78"/>
      <c r="N21" s="75" t="s">
        <v>69</v>
      </c>
      <c r="O21" s="75" t="s">
        <v>269</v>
      </c>
      <c r="P21" s="6" t="str">
        <f t="shared" si="0"/>
        <v>Regra ativa</v>
      </c>
      <c r="Q21" s="75" t="s">
        <v>55</v>
      </c>
    </row>
    <row r="22" spans="1:17" ht="23.1" customHeight="1">
      <c r="A22" s="6" t="s">
        <v>82</v>
      </c>
      <c r="B22" s="6" t="s">
        <v>192</v>
      </c>
      <c r="C22" s="75" t="s">
        <v>155</v>
      </c>
      <c r="D22" s="75" t="s">
        <v>267</v>
      </c>
      <c r="E22" s="81"/>
      <c r="F22" s="81"/>
      <c r="G22" s="75" t="s">
        <v>268</v>
      </c>
      <c r="H22" s="75"/>
      <c r="I22" s="81"/>
      <c r="J22" s="75">
        <v>24</v>
      </c>
      <c r="K22" s="75">
        <v>0</v>
      </c>
      <c r="L22" s="78">
        <v>46189</v>
      </c>
      <c r="M22" s="78"/>
      <c r="N22" s="75" t="s">
        <v>69</v>
      </c>
      <c r="O22" s="75" t="s">
        <v>269</v>
      </c>
      <c r="P22" s="6" t="str">
        <f t="shared" si="0"/>
        <v>Regra ativa</v>
      </c>
      <c r="Q22" s="75" t="s">
        <v>55</v>
      </c>
    </row>
    <row r="23" spans="1:17" ht="23.1" customHeight="1">
      <c r="A23" s="6" t="s">
        <v>99</v>
      </c>
      <c r="B23" s="6" t="s">
        <v>192</v>
      </c>
      <c r="C23" s="75" t="s">
        <v>155</v>
      </c>
      <c r="D23" s="75" t="s">
        <v>267</v>
      </c>
      <c r="E23" s="81"/>
      <c r="F23" s="81"/>
      <c r="G23" s="75" t="s">
        <v>268</v>
      </c>
      <c r="H23" s="75"/>
      <c r="I23" s="81"/>
      <c r="J23" s="75">
        <v>24</v>
      </c>
      <c r="K23" s="75">
        <v>0</v>
      </c>
      <c r="L23" s="78">
        <v>46202</v>
      </c>
      <c r="M23" s="78"/>
      <c r="N23" s="75" t="s">
        <v>69</v>
      </c>
      <c r="O23" s="75" t="s">
        <v>269</v>
      </c>
      <c r="P23" s="6" t="str">
        <f t="shared" si="0"/>
        <v>Regra ativa</v>
      </c>
      <c r="Q23" s="75" t="s">
        <v>55</v>
      </c>
    </row>
    <row r="24" spans="1:17" ht="23.1" customHeight="1">
      <c r="A24" s="6" t="s">
        <v>84</v>
      </c>
      <c r="B24" s="6" t="s">
        <v>192</v>
      </c>
      <c r="C24" s="75" t="s">
        <v>155</v>
      </c>
      <c r="D24" s="75" t="s">
        <v>267</v>
      </c>
      <c r="E24" s="81"/>
      <c r="F24" s="81"/>
      <c r="G24" s="75" t="s">
        <v>268</v>
      </c>
      <c r="H24" s="75"/>
      <c r="I24" s="81"/>
      <c r="J24" s="75">
        <v>24</v>
      </c>
      <c r="K24" s="75">
        <v>0</v>
      </c>
      <c r="L24" s="78">
        <v>46205</v>
      </c>
      <c r="M24" s="78"/>
      <c r="N24" s="75" t="s">
        <v>69</v>
      </c>
      <c r="O24" s="75" t="s">
        <v>269</v>
      </c>
      <c r="P24" s="6" t="str">
        <f t="shared" si="0"/>
        <v>Regra ativa</v>
      </c>
      <c r="Q24" s="75" t="s">
        <v>55</v>
      </c>
    </row>
    <row r="25" spans="1:17" ht="23.1" customHeight="1">
      <c r="A25" s="6" t="s">
        <v>108</v>
      </c>
      <c r="B25" s="6" t="s">
        <v>192</v>
      </c>
      <c r="C25" s="75" t="s">
        <v>155</v>
      </c>
      <c r="D25" s="75" t="s">
        <v>267</v>
      </c>
      <c r="E25" s="81"/>
      <c r="F25" s="81"/>
      <c r="G25" s="75" t="s">
        <v>268</v>
      </c>
      <c r="H25" s="75"/>
      <c r="I25" s="81"/>
      <c r="J25" s="75">
        <v>24</v>
      </c>
      <c r="K25" s="75">
        <v>0</v>
      </c>
      <c r="L25" s="78">
        <v>46210</v>
      </c>
      <c r="M25" s="78"/>
      <c r="N25" s="75" t="s">
        <v>69</v>
      </c>
      <c r="O25" s="75" t="s">
        <v>269</v>
      </c>
      <c r="P25" s="6" t="str">
        <f t="shared" si="0"/>
        <v>Regra ativa</v>
      </c>
      <c r="Q25" s="75" t="s">
        <v>55</v>
      </c>
    </row>
    <row r="26" spans="1:17" ht="23.1" customHeight="1">
      <c r="A26" s="6" t="s">
        <v>86</v>
      </c>
      <c r="B26" s="6" t="s">
        <v>192</v>
      </c>
      <c r="C26" s="75" t="s">
        <v>155</v>
      </c>
      <c r="D26" s="75" t="s">
        <v>267</v>
      </c>
      <c r="E26" s="81"/>
      <c r="F26" s="81"/>
      <c r="G26" s="75" t="s">
        <v>268</v>
      </c>
      <c r="H26" s="75"/>
      <c r="I26" s="81"/>
      <c r="J26" s="75">
        <v>24</v>
      </c>
      <c r="K26" s="75">
        <v>0</v>
      </c>
      <c r="L26" s="78">
        <v>46205</v>
      </c>
      <c r="M26" s="78"/>
      <c r="N26" s="75" t="s">
        <v>69</v>
      </c>
      <c r="O26" s="75" t="s">
        <v>269</v>
      </c>
      <c r="P26" s="6" t="str">
        <f t="shared" si="0"/>
        <v>Regra ativa</v>
      </c>
      <c r="Q26" s="75" t="s">
        <v>55</v>
      </c>
    </row>
    <row r="27" spans="1:17" ht="23.1" customHeight="1">
      <c r="A27" s="6" t="s">
        <v>88</v>
      </c>
      <c r="B27" s="6" t="s">
        <v>192</v>
      </c>
      <c r="C27" s="75" t="s">
        <v>155</v>
      </c>
      <c r="D27" s="75" t="s">
        <v>267</v>
      </c>
      <c r="E27" s="81"/>
      <c r="F27" s="81"/>
      <c r="G27" s="75" t="s">
        <v>268</v>
      </c>
      <c r="H27" s="75"/>
      <c r="I27" s="81"/>
      <c r="J27" s="75">
        <v>24</v>
      </c>
      <c r="K27" s="75">
        <v>0</v>
      </c>
      <c r="L27" s="78">
        <v>46190</v>
      </c>
      <c r="M27" s="78"/>
      <c r="N27" s="75" t="s">
        <v>69</v>
      </c>
      <c r="O27" s="75" t="s">
        <v>269</v>
      </c>
      <c r="P27" s="6" t="str">
        <f t="shared" si="0"/>
        <v>Regra ativa</v>
      </c>
      <c r="Q27" s="75" t="s">
        <v>55</v>
      </c>
    </row>
    <row r="28" spans="1:17" ht="23.1" customHeight="1">
      <c r="A28" s="6" t="s">
        <v>90</v>
      </c>
      <c r="B28" s="6" t="s">
        <v>192</v>
      </c>
      <c r="C28" s="75" t="s">
        <v>155</v>
      </c>
      <c r="D28" s="75" t="s">
        <v>267</v>
      </c>
      <c r="E28" s="81"/>
      <c r="F28" s="81"/>
      <c r="G28" s="75" t="s">
        <v>268</v>
      </c>
      <c r="H28" s="75"/>
      <c r="I28" s="81"/>
      <c r="J28" s="75">
        <v>24</v>
      </c>
      <c r="K28" s="75">
        <v>0</v>
      </c>
      <c r="L28" s="78">
        <v>46195</v>
      </c>
      <c r="M28" s="78"/>
      <c r="N28" s="75" t="s">
        <v>69</v>
      </c>
      <c r="O28" s="75" t="s">
        <v>269</v>
      </c>
      <c r="P28" s="6" t="str">
        <f t="shared" si="0"/>
        <v>Regra ativa</v>
      </c>
      <c r="Q28" s="75" t="s">
        <v>55</v>
      </c>
    </row>
    <row r="29" spans="1:17" ht="23.1" customHeight="1">
      <c r="A29" s="6" t="s">
        <v>92</v>
      </c>
      <c r="B29" s="6" t="s">
        <v>192</v>
      </c>
      <c r="C29" s="75" t="s">
        <v>155</v>
      </c>
      <c r="D29" s="75" t="s">
        <v>267</v>
      </c>
      <c r="E29" s="81"/>
      <c r="F29" s="81"/>
      <c r="G29" s="75" t="s">
        <v>268</v>
      </c>
      <c r="H29" s="75"/>
      <c r="I29" s="81"/>
      <c r="J29" s="75">
        <v>24</v>
      </c>
      <c r="K29" s="75">
        <v>0</v>
      </c>
      <c r="L29" s="78">
        <v>46197</v>
      </c>
      <c r="M29" s="78"/>
      <c r="N29" s="75" t="s">
        <v>69</v>
      </c>
      <c r="O29" s="75" t="s">
        <v>269</v>
      </c>
      <c r="P29" s="6" t="str">
        <f t="shared" si="0"/>
        <v>Regra ativa</v>
      </c>
      <c r="Q29" s="75" t="s">
        <v>55</v>
      </c>
    </row>
    <row r="30" spans="1:17" ht="23.1" customHeight="1">
      <c r="A30" s="6" t="s">
        <v>94</v>
      </c>
      <c r="B30" s="6" t="s">
        <v>192</v>
      </c>
      <c r="C30" s="75" t="s">
        <v>155</v>
      </c>
      <c r="D30" s="75" t="s">
        <v>267</v>
      </c>
      <c r="E30" s="81"/>
      <c r="F30" s="81"/>
      <c r="G30" s="75" t="s">
        <v>268</v>
      </c>
      <c r="H30" s="75"/>
      <c r="I30" s="81"/>
      <c r="J30" s="75">
        <v>24</v>
      </c>
      <c r="K30" s="75">
        <v>0</v>
      </c>
      <c r="L30" s="78">
        <v>46192</v>
      </c>
      <c r="M30" s="78"/>
      <c r="N30" s="75" t="s">
        <v>69</v>
      </c>
      <c r="O30" s="75" t="s">
        <v>269</v>
      </c>
      <c r="P30" s="6" t="str">
        <f t="shared" si="0"/>
        <v>Regra ativa</v>
      </c>
      <c r="Q30" s="75" t="s">
        <v>55</v>
      </c>
    </row>
    <row r="31" spans="1:17" ht="23.1" customHeight="1">
      <c r="A31" s="6" t="s">
        <v>96</v>
      </c>
      <c r="B31" s="6" t="s">
        <v>192</v>
      </c>
      <c r="C31" s="75" t="s">
        <v>155</v>
      </c>
      <c r="D31" s="75" t="s">
        <v>267</v>
      </c>
      <c r="E31" s="81"/>
      <c r="F31" s="81"/>
      <c r="G31" s="75" t="s">
        <v>268</v>
      </c>
      <c r="H31" s="75"/>
      <c r="I31" s="81"/>
      <c r="J31" s="75">
        <v>24</v>
      </c>
      <c r="K31" s="75">
        <v>0</v>
      </c>
      <c r="L31" s="78">
        <v>46189</v>
      </c>
      <c r="M31" s="78"/>
      <c r="N31" s="75" t="s">
        <v>69</v>
      </c>
      <c r="O31" s="75" t="s">
        <v>269</v>
      </c>
      <c r="P31" s="6" t="str">
        <f t="shared" si="0"/>
        <v>Regra ativa</v>
      </c>
      <c r="Q31" s="75" t="s">
        <v>55</v>
      </c>
    </row>
    <row r="32" spans="1:17" ht="23.1" customHeight="1">
      <c r="A32" s="7" t="s">
        <v>97</v>
      </c>
      <c r="B32" s="7" t="s">
        <v>192</v>
      </c>
      <c r="C32" s="76" t="s">
        <v>155</v>
      </c>
      <c r="D32" s="76" t="s">
        <v>267</v>
      </c>
      <c r="E32" s="82"/>
      <c r="F32" s="82"/>
      <c r="G32" s="76" t="s">
        <v>270</v>
      </c>
      <c r="H32" s="76"/>
      <c r="I32" s="82"/>
      <c r="J32" s="76"/>
      <c r="K32" s="76">
        <v>0</v>
      </c>
      <c r="L32" s="79">
        <v>46191</v>
      </c>
      <c r="M32" s="79"/>
      <c r="N32" s="76" t="s">
        <v>69</v>
      </c>
      <c r="O32" s="76" t="s">
        <v>271</v>
      </c>
      <c r="P32" s="7" t="str">
        <f t="shared" si="0"/>
        <v>Regra ativa</v>
      </c>
      <c r="Q32" s="76" t="s">
        <v>55</v>
      </c>
    </row>
  </sheetData>
  <mergeCells count="2">
    <mergeCell ref="A2:Q2"/>
    <mergeCell ref="A3:Q3"/>
  </mergeCells>
  <dataValidations count="3">
    <dataValidation type="list" sqref="C7:D32" xr:uid="{00000000-0002-0000-0A00-000000000000}">
      <formula1>"Creation,Released,In Progress,Finish,UDF 1,UDF 2,UDF 3,UDF 4"</formula1>
    </dataValidation>
    <dataValidation type="list" sqref="G7:G32" xr:uid="{00000000-0002-0000-0A00-000001000000}">
      <formula1>"Data de vencimento da fonte,Dia útil + hora,Horas úteis"</formula1>
    </dataValidation>
    <dataValidation type="list" sqref="N7:N32" xr:uid="{00000000-0002-0000-0A00-000002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B7F5C"/>
  </sheetPr>
  <dimension ref="A2:K34"/>
  <sheetViews>
    <sheetView showGridLines="0" workbookViewId="0">
      <pane ySplit="6" topLeftCell="A18" activePane="bottomLeft" state="frozen"/>
      <selection pane="bottomLeft"/>
    </sheetView>
  </sheetViews>
  <sheetFormatPr defaultRowHeight="14.25"/>
  <cols>
    <col min="1" max="2" width="15" customWidth="1"/>
    <col min="3" max="4" width="20" customWidth="1"/>
    <col min="5" max="6" width="16" customWidth="1"/>
    <col min="7" max="7" width="10" customWidth="1"/>
    <col min="8" max="8" width="32" customWidth="1"/>
    <col min="9" max="9" width="28" customWidth="1"/>
    <col min="10" max="10" width="20" customWidth="1"/>
    <col min="11" max="11" width="18" customWidth="1"/>
  </cols>
  <sheetData>
    <row r="2" spans="1:11" ht="19.5">
      <c r="A2" s="106" t="s">
        <v>272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1">
      <c r="A3" s="108" t="s">
        <v>273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</row>
    <row r="6" spans="1:11" ht="36" customHeight="1">
      <c r="A6" s="83" t="s">
        <v>41</v>
      </c>
      <c r="B6" s="84" t="s">
        <v>42</v>
      </c>
      <c r="C6" s="84" t="s">
        <v>43</v>
      </c>
      <c r="D6" s="84" t="s">
        <v>44</v>
      </c>
      <c r="E6" s="84" t="s">
        <v>45</v>
      </c>
      <c r="F6" s="84" t="s">
        <v>46</v>
      </c>
      <c r="G6" s="84" t="s">
        <v>47</v>
      </c>
      <c r="H6" s="84" t="s">
        <v>48</v>
      </c>
      <c r="I6" s="84" t="s">
        <v>49</v>
      </c>
      <c r="J6" s="84" t="s">
        <v>50</v>
      </c>
      <c r="K6" s="85" t="s">
        <v>51</v>
      </c>
    </row>
    <row r="7" spans="1:11" ht="23.1" customHeight="1">
      <c r="A7" s="5" t="s">
        <v>52</v>
      </c>
      <c r="B7" s="5" t="s">
        <v>52</v>
      </c>
      <c r="C7" s="86"/>
      <c r="D7" s="86">
        <v>18</v>
      </c>
      <c r="E7" s="89">
        <v>46237</v>
      </c>
      <c r="F7" s="89"/>
      <c r="G7" s="86" t="s">
        <v>53</v>
      </c>
      <c r="H7" s="86" t="s">
        <v>274</v>
      </c>
      <c r="I7" s="86"/>
      <c r="J7" s="5" t="str">
        <f t="shared" ref="J7:J34" si="0">IF(OR(C7="",G7&lt;&gt;"Sim"),"NET não calculado","NET habilitado")</f>
        <v>NET não calculado</v>
      </c>
      <c r="K7" s="86" t="s">
        <v>243</v>
      </c>
    </row>
    <row r="8" spans="1:11" ht="23.1" customHeight="1">
      <c r="A8" s="6" t="s">
        <v>52</v>
      </c>
      <c r="B8" s="6" t="s">
        <v>52</v>
      </c>
      <c r="C8" s="87"/>
      <c r="D8" s="87">
        <v>8</v>
      </c>
      <c r="E8" s="90">
        <v>46237</v>
      </c>
      <c r="F8" s="90"/>
      <c r="G8" s="87" t="s">
        <v>53</v>
      </c>
      <c r="H8" s="87" t="s">
        <v>274</v>
      </c>
      <c r="I8" s="87"/>
      <c r="J8" s="6" t="str">
        <f t="shared" si="0"/>
        <v>NET não calculado</v>
      </c>
      <c r="K8" s="87" t="s">
        <v>246</v>
      </c>
    </row>
    <row r="9" spans="1:11" ht="23.1" customHeight="1">
      <c r="A9" s="6" t="s">
        <v>102</v>
      </c>
      <c r="B9" s="6" t="s">
        <v>102</v>
      </c>
      <c r="C9" s="87"/>
      <c r="D9" s="87">
        <v>13</v>
      </c>
      <c r="E9" s="90">
        <v>46239</v>
      </c>
      <c r="F9" s="90"/>
      <c r="G9" s="87" t="s">
        <v>53</v>
      </c>
      <c r="H9" s="87" t="s">
        <v>275</v>
      </c>
      <c r="I9" s="87"/>
      <c r="J9" s="6" t="str">
        <f t="shared" si="0"/>
        <v>NET não calculado</v>
      </c>
      <c r="K9" s="87" t="s">
        <v>211</v>
      </c>
    </row>
    <row r="10" spans="1:11" ht="23.1" customHeight="1">
      <c r="A10" s="6" t="s">
        <v>56</v>
      </c>
      <c r="B10" s="6" t="s">
        <v>56</v>
      </c>
      <c r="C10" s="87"/>
      <c r="D10" s="87">
        <v>102</v>
      </c>
      <c r="E10" s="90">
        <v>46190</v>
      </c>
      <c r="F10" s="90"/>
      <c r="G10" s="87" t="s">
        <v>53</v>
      </c>
      <c r="H10" s="87" t="s">
        <v>276</v>
      </c>
      <c r="I10" s="87"/>
      <c r="J10" s="6" t="str">
        <f t="shared" si="0"/>
        <v>NET não calculado</v>
      </c>
      <c r="K10" s="87" t="s">
        <v>249</v>
      </c>
    </row>
    <row r="11" spans="1:11" ht="23.1" customHeight="1">
      <c r="A11" s="6" t="s">
        <v>56</v>
      </c>
      <c r="B11" s="6" t="s">
        <v>56</v>
      </c>
      <c r="C11" s="87"/>
      <c r="D11" s="87">
        <v>30</v>
      </c>
      <c r="E11" s="90">
        <v>46190</v>
      </c>
      <c r="F11" s="90"/>
      <c r="G11" s="87" t="s">
        <v>53</v>
      </c>
      <c r="H11" s="87" t="s">
        <v>277</v>
      </c>
      <c r="I11" s="87"/>
      <c r="J11" s="6" t="str">
        <f t="shared" si="0"/>
        <v>NET não calculado</v>
      </c>
      <c r="K11" s="87" t="s">
        <v>253</v>
      </c>
    </row>
    <row r="12" spans="1:11" ht="23.1" customHeight="1">
      <c r="A12" s="6" t="s">
        <v>58</v>
      </c>
      <c r="B12" s="6" t="s">
        <v>58</v>
      </c>
      <c r="C12" s="87"/>
      <c r="D12" s="87">
        <v>128</v>
      </c>
      <c r="E12" s="90">
        <v>46190</v>
      </c>
      <c r="F12" s="90"/>
      <c r="G12" s="87" t="s">
        <v>53</v>
      </c>
      <c r="H12" s="87" t="s">
        <v>278</v>
      </c>
      <c r="I12" s="87"/>
      <c r="J12" s="6" t="str">
        <f t="shared" si="0"/>
        <v>NET não calculado</v>
      </c>
      <c r="K12" s="87" t="s">
        <v>256</v>
      </c>
    </row>
    <row r="13" spans="1:11" ht="23.1" customHeight="1">
      <c r="A13" s="6" t="s">
        <v>62</v>
      </c>
      <c r="B13" s="6" t="s">
        <v>62</v>
      </c>
      <c r="C13" s="87"/>
      <c r="D13" s="87">
        <v>12</v>
      </c>
      <c r="E13" s="90">
        <v>46183</v>
      </c>
      <c r="F13" s="90"/>
      <c r="G13" s="87" t="s">
        <v>53</v>
      </c>
      <c r="H13" s="87" t="s">
        <v>279</v>
      </c>
      <c r="I13" s="87"/>
      <c r="J13" s="6" t="str">
        <f t="shared" si="0"/>
        <v>NET não calculado</v>
      </c>
      <c r="K13" s="87" t="s">
        <v>256</v>
      </c>
    </row>
    <row r="14" spans="1:11" ht="23.1" customHeight="1">
      <c r="A14" s="6" t="s">
        <v>64</v>
      </c>
      <c r="B14" s="6" t="s">
        <v>64</v>
      </c>
      <c r="C14" s="87"/>
      <c r="D14" s="87">
        <v>1</v>
      </c>
      <c r="E14" s="90">
        <v>46175</v>
      </c>
      <c r="F14" s="90"/>
      <c r="G14" s="87" t="s">
        <v>53</v>
      </c>
      <c r="H14" s="87" t="s">
        <v>275</v>
      </c>
      <c r="I14" s="87"/>
      <c r="J14" s="6" t="str">
        <f t="shared" si="0"/>
        <v>NET não calculado</v>
      </c>
      <c r="K14" s="87" t="s">
        <v>264</v>
      </c>
    </row>
    <row r="15" spans="1:11" ht="23.1" customHeight="1">
      <c r="A15" s="6" t="s">
        <v>106</v>
      </c>
      <c r="B15" s="6" t="s">
        <v>106</v>
      </c>
      <c r="C15" s="87"/>
      <c r="D15" s="87">
        <v>645</v>
      </c>
      <c r="E15" s="90">
        <v>46239</v>
      </c>
      <c r="F15" s="90"/>
      <c r="G15" s="87" t="s">
        <v>53</v>
      </c>
      <c r="H15" s="87" t="s">
        <v>280</v>
      </c>
      <c r="I15" s="87"/>
      <c r="J15" s="6" t="str">
        <f t="shared" si="0"/>
        <v>NET não calculado</v>
      </c>
      <c r="K15" s="87" t="s">
        <v>219</v>
      </c>
    </row>
    <row r="16" spans="1:11" ht="23.1" customHeight="1">
      <c r="A16" s="6" t="s">
        <v>66</v>
      </c>
      <c r="B16" s="6" t="s">
        <v>66</v>
      </c>
      <c r="C16" s="87"/>
      <c r="D16" s="87">
        <v>6</v>
      </c>
      <c r="E16" s="90">
        <v>46195</v>
      </c>
      <c r="F16" s="90"/>
      <c r="G16" s="87" t="s">
        <v>53</v>
      </c>
      <c r="H16" s="87" t="s">
        <v>281</v>
      </c>
      <c r="I16" s="87"/>
      <c r="J16" s="6" t="str">
        <f t="shared" si="0"/>
        <v>NET não calculado</v>
      </c>
      <c r="K16" s="87" t="s">
        <v>256</v>
      </c>
    </row>
    <row r="17" spans="1:11" ht="23.1" customHeight="1">
      <c r="A17" s="6" t="s">
        <v>68</v>
      </c>
      <c r="B17" s="6" t="s">
        <v>68</v>
      </c>
      <c r="C17" s="87"/>
      <c r="D17" s="87">
        <v>257</v>
      </c>
      <c r="E17" s="90">
        <v>46191</v>
      </c>
      <c r="F17" s="90"/>
      <c r="G17" s="87" t="s">
        <v>53</v>
      </c>
      <c r="H17" s="87" t="s">
        <v>282</v>
      </c>
      <c r="I17" s="87"/>
      <c r="J17" s="6" t="str">
        <f t="shared" si="0"/>
        <v>NET não calculado</v>
      </c>
      <c r="K17" s="87" t="s">
        <v>256</v>
      </c>
    </row>
    <row r="18" spans="1:11" ht="23.1" customHeight="1">
      <c r="A18" s="6" t="s">
        <v>71</v>
      </c>
      <c r="B18" s="6" t="s">
        <v>71</v>
      </c>
      <c r="C18" s="87"/>
      <c r="D18" s="87">
        <v>28</v>
      </c>
      <c r="E18" s="90">
        <v>46189</v>
      </c>
      <c r="F18" s="90"/>
      <c r="G18" s="87" t="s">
        <v>53</v>
      </c>
      <c r="H18" s="87" t="s">
        <v>283</v>
      </c>
      <c r="I18" s="87"/>
      <c r="J18" s="6" t="str">
        <f t="shared" si="0"/>
        <v>NET não calculado</v>
      </c>
      <c r="K18" s="87" t="s">
        <v>222</v>
      </c>
    </row>
    <row r="19" spans="1:11" ht="23.1" customHeight="1">
      <c r="A19" s="6" t="s">
        <v>73</v>
      </c>
      <c r="B19" s="6" t="s">
        <v>73</v>
      </c>
      <c r="C19" s="87"/>
      <c r="D19" s="87">
        <v>132</v>
      </c>
      <c r="E19" s="90">
        <v>46203</v>
      </c>
      <c r="F19" s="90"/>
      <c r="G19" s="87" t="s">
        <v>53</v>
      </c>
      <c r="H19" s="87" t="s">
        <v>284</v>
      </c>
      <c r="I19" s="87"/>
      <c r="J19" s="6" t="str">
        <f t="shared" si="0"/>
        <v>NET não calculado</v>
      </c>
      <c r="K19" s="87" t="s">
        <v>223</v>
      </c>
    </row>
    <row r="20" spans="1:11" ht="23.1" customHeight="1">
      <c r="A20" s="6" t="s">
        <v>74</v>
      </c>
      <c r="B20" s="6" t="s">
        <v>74</v>
      </c>
      <c r="C20" s="87"/>
      <c r="D20" s="87">
        <v>1344</v>
      </c>
      <c r="E20" s="90">
        <v>46192</v>
      </c>
      <c r="F20" s="90"/>
      <c r="G20" s="87" t="s">
        <v>53</v>
      </c>
      <c r="H20" s="87" t="s">
        <v>285</v>
      </c>
      <c r="I20" s="87"/>
      <c r="J20" s="6" t="str">
        <f t="shared" si="0"/>
        <v>NET não calculado</v>
      </c>
      <c r="K20" s="87" t="s">
        <v>256</v>
      </c>
    </row>
    <row r="21" spans="1:11" ht="23.1" customHeight="1">
      <c r="A21" s="6" t="s">
        <v>76</v>
      </c>
      <c r="B21" s="6" t="s">
        <v>76</v>
      </c>
      <c r="C21" s="87"/>
      <c r="D21" s="87">
        <v>1</v>
      </c>
      <c r="E21" s="90">
        <v>46253</v>
      </c>
      <c r="F21" s="90"/>
      <c r="G21" s="87" t="s">
        <v>53</v>
      </c>
      <c r="H21" s="87" t="s">
        <v>275</v>
      </c>
      <c r="I21" s="87"/>
      <c r="J21" s="6" t="str">
        <f t="shared" si="0"/>
        <v>NET não calculado</v>
      </c>
      <c r="K21" s="87" t="s">
        <v>225</v>
      </c>
    </row>
    <row r="22" spans="1:11" ht="23.1" customHeight="1">
      <c r="A22" s="6" t="s">
        <v>78</v>
      </c>
      <c r="B22" s="6" t="s">
        <v>78</v>
      </c>
      <c r="C22" s="87"/>
      <c r="D22" s="87">
        <v>405</v>
      </c>
      <c r="E22" s="90">
        <v>46171</v>
      </c>
      <c r="F22" s="90"/>
      <c r="G22" s="87" t="s">
        <v>53</v>
      </c>
      <c r="H22" s="87" t="s">
        <v>286</v>
      </c>
      <c r="I22" s="87"/>
      <c r="J22" s="6" t="str">
        <f t="shared" si="0"/>
        <v>NET não calculado</v>
      </c>
      <c r="K22" s="87" t="s">
        <v>256</v>
      </c>
    </row>
    <row r="23" spans="1:11" ht="23.1" customHeight="1">
      <c r="A23" s="6" t="s">
        <v>80</v>
      </c>
      <c r="B23" s="6" t="s">
        <v>80</v>
      </c>
      <c r="C23" s="87"/>
      <c r="D23" s="87">
        <v>13</v>
      </c>
      <c r="E23" s="90">
        <v>46192</v>
      </c>
      <c r="F23" s="90"/>
      <c r="G23" s="87" t="s">
        <v>53</v>
      </c>
      <c r="H23" s="87" t="s">
        <v>287</v>
      </c>
      <c r="I23" s="87"/>
      <c r="J23" s="6" t="str">
        <f t="shared" si="0"/>
        <v>NET não calculado</v>
      </c>
      <c r="K23" s="87" t="s">
        <v>227</v>
      </c>
    </row>
    <row r="24" spans="1:11" ht="23.1" customHeight="1">
      <c r="A24" s="6" t="s">
        <v>82</v>
      </c>
      <c r="B24" s="6" t="s">
        <v>82</v>
      </c>
      <c r="C24" s="87"/>
      <c r="D24" s="87">
        <v>876</v>
      </c>
      <c r="E24" s="90">
        <v>46189</v>
      </c>
      <c r="F24" s="90"/>
      <c r="G24" s="87" t="s">
        <v>53</v>
      </c>
      <c r="H24" s="87" t="s">
        <v>288</v>
      </c>
      <c r="I24" s="87"/>
      <c r="J24" s="6" t="str">
        <f t="shared" si="0"/>
        <v>NET não calculado</v>
      </c>
      <c r="K24" s="87" t="s">
        <v>256</v>
      </c>
    </row>
    <row r="25" spans="1:11" ht="23.1" customHeight="1">
      <c r="A25" s="6" t="s">
        <v>99</v>
      </c>
      <c r="B25" s="6" t="s">
        <v>99</v>
      </c>
      <c r="C25" s="87">
        <v>20</v>
      </c>
      <c r="D25" s="87">
        <v>448</v>
      </c>
      <c r="E25" s="90">
        <v>46202</v>
      </c>
      <c r="F25" s="90"/>
      <c r="G25" s="87" t="s">
        <v>69</v>
      </c>
      <c r="H25" s="87" t="s">
        <v>280</v>
      </c>
      <c r="I25" s="87"/>
      <c r="J25" s="6" t="str">
        <f t="shared" si="0"/>
        <v>NET habilitado</v>
      </c>
      <c r="K25" s="87" t="s">
        <v>256</v>
      </c>
    </row>
    <row r="26" spans="1:11" ht="23.1" customHeight="1">
      <c r="A26" s="6" t="s">
        <v>84</v>
      </c>
      <c r="B26" s="6" t="s">
        <v>84</v>
      </c>
      <c r="C26" s="87"/>
      <c r="D26" s="87">
        <v>403</v>
      </c>
      <c r="E26" s="90">
        <v>46205</v>
      </c>
      <c r="F26" s="90"/>
      <c r="G26" s="87" t="s">
        <v>53</v>
      </c>
      <c r="H26" s="87" t="s">
        <v>287</v>
      </c>
      <c r="I26" s="87"/>
      <c r="J26" s="6" t="str">
        <f t="shared" si="0"/>
        <v>NET não calculado</v>
      </c>
      <c r="K26" s="87" t="s">
        <v>256</v>
      </c>
    </row>
    <row r="27" spans="1:11" ht="23.1" customHeight="1">
      <c r="A27" s="6" t="s">
        <v>108</v>
      </c>
      <c r="B27" s="6" t="s">
        <v>108</v>
      </c>
      <c r="C27" s="87"/>
      <c r="D27" s="87">
        <v>2</v>
      </c>
      <c r="E27" s="90">
        <v>46210</v>
      </c>
      <c r="F27" s="90"/>
      <c r="G27" s="87" t="s">
        <v>53</v>
      </c>
      <c r="H27" s="87" t="s">
        <v>280</v>
      </c>
      <c r="I27" s="87"/>
      <c r="J27" s="6" t="str">
        <f t="shared" si="0"/>
        <v>NET não calculado</v>
      </c>
      <c r="K27" s="87" t="s">
        <v>231</v>
      </c>
    </row>
    <row r="28" spans="1:11" ht="23.1" customHeight="1">
      <c r="A28" s="6" t="s">
        <v>86</v>
      </c>
      <c r="B28" s="6" t="s">
        <v>86</v>
      </c>
      <c r="C28" s="87"/>
      <c r="D28" s="87">
        <v>8</v>
      </c>
      <c r="E28" s="90">
        <v>46205</v>
      </c>
      <c r="F28" s="90"/>
      <c r="G28" s="87" t="s">
        <v>53</v>
      </c>
      <c r="H28" s="87" t="s">
        <v>289</v>
      </c>
      <c r="I28" s="87"/>
      <c r="J28" s="6" t="str">
        <f t="shared" si="0"/>
        <v>NET não calculado</v>
      </c>
      <c r="K28" s="87" t="s">
        <v>232</v>
      </c>
    </row>
    <row r="29" spans="1:11" ht="23.1" customHeight="1">
      <c r="A29" s="6" t="s">
        <v>88</v>
      </c>
      <c r="B29" s="6" t="s">
        <v>88</v>
      </c>
      <c r="C29" s="87"/>
      <c r="D29" s="87">
        <v>20</v>
      </c>
      <c r="E29" s="90">
        <v>46190</v>
      </c>
      <c r="F29" s="90"/>
      <c r="G29" s="87" t="s">
        <v>53</v>
      </c>
      <c r="H29" s="87" t="s">
        <v>290</v>
      </c>
      <c r="I29" s="87"/>
      <c r="J29" s="6" t="str">
        <f t="shared" si="0"/>
        <v>NET não calculado</v>
      </c>
      <c r="K29" s="87" t="s">
        <v>256</v>
      </c>
    </row>
    <row r="30" spans="1:11" ht="23.1" customHeight="1">
      <c r="A30" s="6" t="s">
        <v>90</v>
      </c>
      <c r="B30" s="6" t="s">
        <v>90</v>
      </c>
      <c r="C30" s="87"/>
      <c r="D30" s="87">
        <v>290</v>
      </c>
      <c r="E30" s="90">
        <v>46195</v>
      </c>
      <c r="F30" s="90"/>
      <c r="G30" s="87" t="s">
        <v>53</v>
      </c>
      <c r="H30" s="87" t="s">
        <v>290</v>
      </c>
      <c r="I30" s="87"/>
      <c r="J30" s="6" t="str">
        <f t="shared" si="0"/>
        <v>NET não calculado</v>
      </c>
      <c r="K30" s="87" t="s">
        <v>256</v>
      </c>
    </row>
    <row r="31" spans="1:11" ht="23.1" customHeight="1">
      <c r="A31" s="6" t="s">
        <v>92</v>
      </c>
      <c r="B31" s="6" t="s">
        <v>92</v>
      </c>
      <c r="C31" s="87"/>
      <c r="D31" s="87">
        <v>16</v>
      </c>
      <c r="E31" s="90">
        <v>46197</v>
      </c>
      <c r="F31" s="90"/>
      <c r="G31" s="87" t="s">
        <v>53</v>
      </c>
      <c r="H31" s="87" t="s">
        <v>279</v>
      </c>
      <c r="I31" s="87"/>
      <c r="J31" s="6" t="str">
        <f t="shared" si="0"/>
        <v>NET não calculado</v>
      </c>
      <c r="K31" s="87" t="s">
        <v>256</v>
      </c>
    </row>
    <row r="32" spans="1:11" ht="23.1" customHeight="1">
      <c r="A32" s="6" t="s">
        <v>94</v>
      </c>
      <c r="B32" s="6" t="s">
        <v>94</v>
      </c>
      <c r="C32" s="87"/>
      <c r="D32" s="87">
        <v>504</v>
      </c>
      <c r="E32" s="90">
        <v>46192</v>
      </c>
      <c r="F32" s="90"/>
      <c r="G32" s="87" t="s">
        <v>53</v>
      </c>
      <c r="H32" s="87" t="s">
        <v>291</v>
      </c>
      <c r="I32" s="87"/>
      <c r="J32" s="6" t="str">
        <f t="shared" si="0"/>
        <v>NET não calculado</v>
      </c>
      <c r="K32" s="87" t="s">
        <v>256</v>
      </c>
    </row>
    <row r="33" spans="1:11" ht="23.1" customHeight="1">
      <c r="A33" s="6" t="s">
        <v>96</v>
      </c>
      <c r="B33" s="6" t="s">
        <v>96</v>
      </c>
      <c r="C33" s="87"/>
      <c r="D33" s="87">
        <v>13</v>
      </c>
      <c r="E33" s="90">
        <v>46189</v>
      </c>
      <c r="F33" s="90"/>
      <c r="G33" s="87" t="s">
        <v>53</v>
      </c>
      <c r="H33" s="87" t="s">
        <v>291</v>
      </c>
      <c r="I33" s="87"/>
      <c r="J33" s="6" t="str">
        <f t="shared" si="0"/>
        <v>NET não calculado</v>
      </c>
      <c r="K33" s="87" t="s">
        <v>237</v>
      </c>
    </row>
    <row r="34" spans="1:11" ht="23.1" customHeight="1">
      <c r="A34" s="7" t="s">
        <v>97</v>
      </c>
      <c r="B34" s="7" t="s">
        <v>97</v>
      </c>
      <c r="C34" s="88"/>
      <c r="D34" s="88">
        <v>11</v>
      </c>
      <c r="E34" s="91">
        <v>46191</v>
      </c>
      <c r="F34" s="91"/>
      <c r="G34" s="88" t="s">
        <v>53</v>
      </c>
      <c r="H34" s="88" t="s">
        <v>292</v>
      </c>
      <c r="I34" s="88"/>
      <c r="J34" s="7" t="str">
        <f t="shared" si="0"/>
        <v>NET não calculado</v>
      </c>
      <c r="K34" s="88" t="s">
        <v>256</v>
      </c>
    </row>
  </sheetData>
  <mergeCells count="2">
    <mergeCell ref="A2:K2"/>
    <mergeCell ref="A3:K3"/>
  </mergeCells>
  <dataValidations count="1">
    <dataValidation type="list" sqref="G7:G34" xr:uid="{00000000-0002-0000-0B00-000000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A15C2F"/>
  </sheetPr>
  <dimension ref="A1:Z100"/>
  <sheetViews>
    <sheetView showGridLines="0" tabSelected="1" workbookViewId="0">
      <pane ySplit="6" topLeftCell="A7" activePane="bottomLeft" state="frozen"/>
      <selection pane="bottomLeft" activeCell="G14" sqref="G14"/>
    </sheetView>
  </sheetViews>
  <sheetFormatPr defaultRowHeight="14.25"/>
  <cols>
    <col min="1" max="2" width="14" customWidth="1"/>
    <col min="3" max="3" width="18" customWidth="1"/>
    <col min="4" max="4" width="22" customWidth="1"/>
    <col min="5" max="9" width="18" customWidth="1"/>
    <col min="10" max="11" width="16" customWidth="1"/>
    <col min="12" max="12" width="10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>
      <c r="A2" s="106" t="s">
        <v>293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8" t="s">
        <v>294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97" t="s">
        <v>41</v>
      </c>
      <c r="B6" s="98" t="s">
        <v>51</v>
      </c>
      <c r="C6" s="98" t="s">
        <v>295</v>
      </c>
      <c r="D6" s="98" t="s">
        <v>296</v>
      </c>
      <c r="E6" s="98" t="s">
        <v>297</v>
      </c>
      <c r="F6" s="98" t="s">
        <v>298</v>
      </c>
      <c r="G6" s="98" t="s">
        <v>299</v>
      </c>
      <c r="H6" s="98" t="s">
        <v>300</v>
      </c>
      <c r="I6" s="98" t="s">
        <v>153</v>
      </c>
      <c r="J6" s="98" t="s">
        <v>45</v>
      </c>
      <c r="K6" s="98" t="s">
        <v>46</v>
      </c>
      <c r="L6" s="99" t="s">
        <v>47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3.1" customHeight="1">
      <c r="A7" s="100" t="s">
        <v>55</v>
      </c>
      <c r="B7" s="100" t="s">
        <v>55</v>
      </c>
      <c r="C7" s="100" t="s">
        <v>301</v>
      </c>
      <c r="D7" s="100" t="s">
        <v>302</v>
      </c>
      <c r="E7" s="100" t="s">
        <v>157</v>
      </c>
      <c r="F7" s="100" t="s">
        <v>158</v>
      </c>
      <c r="G7" s="100" t="s">
        <v>158</v>
      </c>
      <c r="H7" s="100" t="s">
        <v>159</v>
      </c>
      <c r="I7" s="102">
        <v>12</v>
      </c>
      <c r="J7" s="104">
        <v>45658</v>
      </c>
      <c r="K7" s="104"/>
      <c r="L7" s="100" t="s">
        <v>69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3.1" customHeight="1">
      <c r="A8" s="101" t="s">
        <v>55</v>
      </c>
      <c r="B8" s="101" t="s">
        <v>55</v>
      </c>
      <c r="C8" s="101" t="s">
        <v>303</v>
      </c>
      <c r="D8" s="101" t="s">
        <v>304</v>
      </c>
      <c r="E8" s="101" t="s">
        <v>158</v>
      </c>
      <c r="F8" s="101" t="s">
        <v>159</v>
      </c>
      <c r="G8" s="101" t="s">
        <v>159</v>
      </c>
      <c r="H8" s="101" t="s">
        <v>160</v>
      </c>
      <c r="I8" s="103">
        <v>12</v>
      </c>
      <c r="J8" s="105">
        <v>45658</v>
      </c>
      <c r="K8" s="105"/>
      <c r="L8" s="101" t="s">
        <v>69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2:L2"/>
    <mergeCell ref="A3:L3"/>
  </mergeCells>
  <dataValidations count="2">
    <dataValidation type="list" sqref="E7:H8" xr:uid="{00000000-0002-0000-0C00-000000000000}">
      <formula1>"Creation,Released,Allocated,In Progress,Picked,Packed,Ready to Load,Complete,Shipped"</formula1>
    </dataValidation>
    <dataValidation type="list" sqref="L7:L8" xr:uid="{00000000-0002-0000-0C00-000001000000}">
      <formula1>"Sim,Não"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Orientacoes</vt:lpstr>
      <vt:lpstr>Capacidade</vt:lpstr>
      <vt:lpstr>Jornada</vt:lpstr>
      <vt:lpstr>Feriados</vt:lpstr>
      <vt:lpstr>MetasEtapas</vt:lpstr>
      <vt:lpstr>Regras</vt:lpstr>
      <vt:lpstr>RegrasGross</vt:lpstr>
      <vt:lpstr>FontesOutbound</vt:lpstr>
      <vt:lpstr>OwnerAliases</vt:lpstr>
      <vt:lpstr>FontesInbound</vt:lpstr>
      <vt:lpstr>RegrasInbound</vt:lpstr>
      <vt:lpstr>CapacidadeInbound</vt:lpstr>
      <vt:lpstr>ProcessosOutbound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Leonardo Sales - DSV</cp:lastModifiedBy>
  <dcterms:modified xsi:type="dcterms:W3CDTF">2026-09-24T12:32:06Z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2026-09-21T14:15:33Z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077e4a3f-1baf-42d6-aed9-2611d2dc4793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