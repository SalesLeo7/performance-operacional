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5548b5151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entacoes" sheetId="1" r:id="Rd0ce071bd11d498c"/>
    <x:sheet xmlns:r="http://schemas.openxmlformats.org/officeDocument/2006/relationships" name="Capacidade" sheetId="2" r:id="R0d710e529c5a4999"/>
    <x:sheet xmlns:r="http://schemas.openxmlformats.org/officeDocument/2006/relationships" name="Jornada" sheetId="3" r:id="Rc125a78dc4b74d22"/>
    <x:sheet xmlns:r="http://schemas.openxmlformats.org/officeDocument/2006/relationships" name="Feriados" sheetId="4" r:id="Rce94098a21e341b0"/>
    <x:sheet xmlns:r="http://schemas.openxmlformats.org/officeDocument/2006/relationships" name="MetasEtapas" sheetId="5" r:id="Rdc46971a87724264"/>
    <x:sheet xmlns:r="http://schemas.openxmlformats.org/officeDocument/2006/relationships" name="Regras" sheetId="6" r:id="Rf2cdae8f9a554e8d"/>
    <x:sheet xmlns:r="http://schemas.openxmlformats.org/officeDocument/2006/relationships" name="RegrasGross" sheetId="7" r:id="R00a65a07c1a140d2"/>
    <x:sheet xmlns:r="http://schemas.openxmlformats.org/officeDocument/2006/relationships" name="FontesOutbound" sheetId="8" r:id="Rd2d19f138eff4185"/>
    <x:sheet xmlns:r="http://schemas.openxmlformats.org/officeDocument/2006/relationships" name="OwnerAliases" sheetId="9" r:id="R9a9552bc795b47f8"/>
    <x:sheet xmlns:r="http://schemas.openxmlformats.org/officeDocument/2006/relationships" name="FontesInbound" sheetId="10" r:id="Rbc73ff51a4b64bf7"/>
    <x:sheet xmlns:r="http://schemas.openxmlformats.org/officeDocument/2006/relationships" name="RegrasInbound" sheetId="11" r:id="Rc5a430a75dd64bb9"/>
    <x:sheet xmlns:r="http://schemas.openxmlformats.org/officeDocument/2006/relationships" name="ProcessosOutbound" sheetId="12" r:id="R8588ace393604560"/>
  </x:sheets>
</x:workbook>
</file>

<file path=xl/sharedStrings.xml><?xml version="1.0" encoding="utf-8"?>
<x:sst xmlns:x="http://schemas.openxmlformats.org/spreadsheetml/2006/main">
  <x:si>
    <x:t xml:space="preserve">Parâmetros operacionais de Inbound e Outbound</x:t>
  </x:si>
  <x:si>
    <x:t xml:space="preserve">Edite as entradas amarelas e execute Atualizar Dashboard Atualizado.cmd para recalcular o dashboard.</x:t>
  </x:si>
  <x:si>
    <x:t xml:space="preserve">Ordem de atualização</x:t>
  </x:si>
  <x:si>
    <x:t xml:space="preserve">Ação</x:t>
  </x:si>
  <x:si>
    <x:t xml:space="preserve">Em FontesInbound e FontesOutbound, revise arquivos, cortes e fontes ativas.</x:t>
  </x:si>
  <x:si>
    <x:t xml:space="preserve">Em RegrasInbound e RegrasGross, defina início, fim, prazo e vigência por cliente e Owner.</x:t>
  </x:si>
  <x:si>
    <x:t xml:space="preserve">Em OwnerAliases, normalize o Owner recebido nas duas operações.</x:t>
  </x:si>
  <x:si>
    <x:t xml:space="preserve">Revise Jornada e Feriados. Os vencimentos configurados respeitam o calendário útil.</x:t>
  </x:si>
  <x:si>
    <x:t xml:space="preserve">Execute Atualizar Dashboard Atualizado.cmd. Se uma validação falhar, o dashboard anterior permanece disponível.</x:t>
  </x:si>
  <x:si>
    <x:t xml:space="preserve">Conceito</x:t>
  </x:si>
  <x:si>
    <x:t xml:space="preserve">Regra aplicada</x:t>
  </x:si>
  <x:si>
    <x:t xml:space="preserve">Gross recalculado</x:t>
  </x:si>
  <x:si>
    <x:t xml:space="preserve">Classifica cada linha pela regra ativa do cliente, usando os eventos, cortes e prazos configurados em RegrasGross.</x:t>
  </x:si>
  <x:si>
    <x:t xml:space="preserve">Gross realizado</x:t>
  </x:si>
  <x:si>
    <x:t xml:space="preserve">Inclui processos concluídos e processos ainda abertos cujo prazo já venceu.</x:t>
  </x:si>
  <x:si>
    <x:t xml:space="preserve">Gross de concluídos</x:t>
  </x:si>
  <x:si>
    <x:t xml:space="preserve">Inclui somente processos que possuem o evento final configurado.</x:t>
  </x:si>
  <x:si>
    <x:t xml:space="preserve">Em andamento</x:t>
  </x:si>
  <x:si>
    <x:t xml:space="preserve">Processos abertos antes do vencimento ficam fora do Gross realizado e aparecem na visão operacional.</x:t>
  </x:si>
  <x:si>
    <x:t xml:space="preserve">Gross da base</x:t>
  </x:si>
  <x:si>
    <x:t xml:space="preserve">Mantém a coluna Performance original para comparação com o resultado recalculado.</x:t>
  </x:si>
  <x:si>
    <x:t xml:space="preserve">NET</x:t>
  </x:si>
  <x:si>
    <x:t xml:space="preserve">Aplica a capacidade oficial ao Gross recalculado. O excesso de linhas permanece no Gross e sai do NET.</x:t>
  </x:si>
  <x:si>
    <x:t xml:space="preserve">Limite de corte</x:t>
  </x:si>
  <x:si>
    <x:t xml:space="preserve">O fim da faixa é inclusivo. Exemplo: exatamente 14:00 pertence à faixa até 14:00.</x:t>
  </x:si>
  <x:si>
    <x:t xml:space="preserve">Horas e dias úteis</x:t>
  </x:si>
  <x:si>
    <x:t xml:space="preserve">Considera Jornada, Feriados e exceções. O prazo pode usar dia útil mais hora ou quantidade de horas úteis.</x:t>
  </x:si>
  <x:si>
    <x:t xml:space="preserve">Sem informação</x:t>
  </x:si>
  <x:si>
    <x:t xml:space="preserve">Registros sem regra, início ou dados necessários ficam como Não calculado e aparecem na cobertura.</x:t>
  </x:si>
  <x:si>
    <x:t xml:space="preserve">Fonte</x:t>
  </x:si>
  <x:si>
    <x:t xml:space="preserve">Endereço</x:t>
  </x:si>
  <x:si>
    <x:t xml:space="preserve">Inbound migrado</x:t>
  </x:si>
  <x:si>
    <x:t xml:space="preserve">Base_Clientes/base_consolidade_inbound/inbound_consolidado.csv, a partir do corte por cliente</x:t>
  </x:si>
  <x:si>
    <x:t xml:space="preserve">Inbound legado</x:t>
  </x:si>
  <x:si>
    <x:t xml:space="preserve">00 - Bases OVERVIEW HTMLs.xlsx / OverviewAdvice, somente antes do corte de cada cliente</x:t>
  </x:si>
  <x:si>
    <x:t xml:space="preserve">Outbound legado</x:t>
  </x:si>
  <x:si>
    <x:t xml:space="preserve">00 - Bases OVERVIEW HTMLs.xlsx / OverviewOrder, somente antes do corte de cada cliente</x:t>
  </x:si>
  <x:si>
    <x:t xml:space="preserve">Outbound migrado</x:t>
  </x:si>
  <x:si>
    <x:t xml:space="preserve">Base_Clientes/base_csv_exc, um CSV ativo por cliente</x:t>
  </x:si>
  <x:si>
    <x:t xml:space="preserve">Capacidade diária por cliente</x:t>
  </x:si>
  <x:si>
    <x:t xml:space="preserve">A capacidade sugerida é o p95 do volume diário liberado. O NET exige capacidade oficial preenchida e ativa.</x:t>
  </x:si>
  <x:si>
    <x:t xml:space="preserve">ClientKey</x:t>
  </x:si>
  <x:si>
    <x:t xml:space="preserve">Cliente</x:t>
  </x:si>
  <x:si>
    <x:t xml:space="preserve">CapacidadeOficial</x:t>
  </x:si>
  <x:si>
    <x:t xml:space="preserve">CapacidadeSugerida</x:t>
  </x:si>
  <x:si>
    <x:t xml:space="preserve">VigenciaInicio</x:t>
  </x:si>
  <x:si>
    <x:t xml:space="preserve">VigenciaFim</x:t>
  </x:si>
  <x:si>
    <x:t xml:space="preserve">Ativo</x:t>
  </x:si>
  <x:si>
    <x:t xml:space="preserve">Metodo</x:t>
  </x:si>
  <x:si>
    <x:t xml:space="preserve">Observacao</x:t>
  </x:si>
  <x:si>
    <x:t xml:space="preserve">StatusNET</x:t>
  </x:si>
  <x:si>
    <x:t xml:space="preserve">OwnerKey</x:t>
  </x:si>
  <x:si>
    <x:t xml:space="preserve">ALGAR</x:t>
  </x:si>
  <x:si>
    <x:t xml:space="preserve">Não</x:t>
  </x:si>
  <x:si>
    <x:t xml:space="preserve">p95 de 61 dias com liberação</x:t>
  </x:si>
  <x:si>
    <x:t xml:space="preserve">DEFAULT</x:t>
  </x:si>
  <x:si>
    <x:t xml:space="preserve">ASUS</x:t>
  </x:si>
  <x:si>
    <x:t xml:space="preserve">p95 de 87 dias com liberação</x:t>
  </x:si>
  <x:si>
    <x:t xml:space="preserve">BAT</x:t>
  </x:si>
  <x:si>
    <x:t xml:space="preserve">p95 de 91 dias com liberação</x:t>
  </x:si>
  <x:si>
    <x:t xml:space="preserve">BMW</x:t>
  </x:si>
  <x:si>
    <x:t xml:space="preserve">p95 de 174 dias com liberação</x:t>
  </x:si>
  <x:si>
    <x:t xml:space="preserve">BT</x:t>
  </x:si>
  <x:si>
    <x:t xml:space="preserve">p95 de 3 dias com liberação</x:t>
  </x:si>
  <x:si>
    <x:t xml:space="preserve">CLARO</x:t>
  </x:si>
  <x:si>
    <x:t xml:space="preserve">p95 de 10 dias com liberação</x:t>
  </x:si>
  <x:si>
    <x:t xml:space="preserve">CORBION</x:t>
  </x:si>
  <x:si>
    <x:t xml:space="preserve">p95 de 18 dias com liberação</x:t>
  </x:si>
  <x:si>
    <x:t xml:space="preserve">DUCATI</x:t>
  </x:si>
  <x:si>
    <x:t xml:space="preserve">Sim</x:t>
  </x:si>
  <x:si>
    <x:t xml:space="preserve">p95 de 36 dias com liberação</x:t>
  </x:si>
  <x:si>
    <x:t xml:space="preserve">EDELWHITE</x:t>
  </x:si>
  <x:si>
    <x:t xml:space="preserve">p95 de 14 dias com liberação</x:t>
  </x:si>
  <x:si>
    <x:t xml:space="preserve">FIVEHANDS</x:t>
  </x:si>
  <x:si>
    <x:t xml:space="preserve">GAC</x:t>
  </x:si>
  <x:si>
    <x:t xml:space="preserve">p95 de 47 dias com liberação</x:t>
  </x:si>
  <x:si>
    <x:t xml:space="preserve">GNUTRA</x:t>
  </x:si>
  <x:si>
    <x:t xml:space="preserve">p95 de 0 dias com liberação</x:t>
  </x:si>
  <x:si>
    <x:t xml:space="preserve">GWM</x:t>
  </x:si>
  <x:si>
    <x:t xml:space="preserve">p95 de 117 dias com liberação</x:t>
  </x:si>
  <x:si>
    <x:t xml:space="preserve">HANSEN</x:t>
  </x:si>
  <x:si>
    <x:t xml:space="preserve">p95 de 16 dias com liberação</x:t>
  </x:si>
  <x:si>
    <x:t xml:space="preserve">HARLEY</x:t>
  </x:si>
  <x:si>
    <x:t xml:space="preserve">p95 de 98 dias com liberação</x:t>
  </x:si>
  <x:si>
    <x:t xml:space="preserve">JETOUR</x:t>
  </x:si>
  <x:si>
    <x:t xml:space="preserve">p95 de 82 dias com liberação</x:t>
  </x:si>
  <x:si>
    <x:t xml:space="preserve">MWC</x:t>
  </x:si>
  <x:si>
    <x:t xml:space="preserve">p95 de 21 dias com liberação</x:t>
  </x:si>
  <x:si>
    <x:t xml:space="preserve">OLESEN</x:t>
  </x:si>
  <x:si>
    <x:t xml:space="preserve">p95 de 38 dias com liberação</x:t>
  </x:si>
  <x:si>
    <x:t xml:space="preserve">OMODA</x:t>
  </x:si>
  <x:si>
    <x:t xml:space="preserve">p95 de 88 dias com liberação</x:t>
  </x:si>
  <x:si>
    <x:t xml:space="preserve">ROQUETTE</x:t>
  </x:si>
  <x:si>
    <x:t xml:space="preserve">p95 de 5 dias com liberação</x:t>
  </x:si>
  <x:si>
    <x:t xml:space="preserve">SAIC</x:t>
  </x:si>
  <x:si>
    <x:t xml:space="preserve">p95 de 15 dias com liberação</x:t>
  </x:si>
  <x:si>
    <x:t xml:space="preserve">SCANDERRA</x:t>
  </x:si>
  <x:si>
    <x:t xml:space="preserve">XSYS</x:t>
  </x:si>
  <x:si>
    <x:t xml:space="preserve">p95 de 60 dias com liberação</x:t>
  </x:si>
  <x:si>
    <x:t xml:space="preserve">JAC</x:t>
  </x:si>
  <x:si>
    <x:t xml:space="preserve">p95 de 3 dias com alocação</x:t>
  </x:si>
  <x:si>
    <x:t xml:space="preserve">Validar após maior histórico</x:t>
  </x:si>
  <x:si>
    <x:t xml:space="preserve">Jornada operacional</x:t>
  </x:si>
  <x:si>
    <x:t xml:space="preserve">A linha DEFAULT vale para todos os clientes. Cadastre uma linha específica somente para substituir a jornada padrão.</x:t>
  </x:si>
  <x:si>
    <x:t xml:space="preserve">InicioManha</x:t>
  </x:si>
  <x:si>
    <x:t xml:space="preserve">FimManha</x:t>
  </x:si>
  <x:si>
    <x:t xml:space="preserve">InicioTarde</x:t>
  </x:si>
  <x:si>
    <x:t xml:space="preserve">FimTarde</x:t>
  </x:si>
  <x:si>
    <x:t xml:space="preserve">FusoHorario</x:t>
  </x:si>
  <x:si>
    <x:t xml:space="preserve">America/Sao_Paulo</x:t>
  </x:si>
  <x:si>
    <x:t xml:space="preserve">Jornada padrão aprovada</x:t>
  </x:si>
  <x:si>
    <x:t xml:space="preserve">Feriados e exceções operacionais</x:t>
  </x:si>
  <x:si>
    <x:t xml:space="preserve">Feriados ativos não contam como dia útil. Uma exceção com DiaUtil=Sim transforma a data em dia trabalhado.</x:t>
  </x:si>
  <x:si>
    <x:t xml:space="preserve">Data</x:t>
  </x:si>
  <x:si>
    <x:t xml:space="preserve">Nome</x:t>
  </x:si>
  <x:si>
    <x:t xml:space="preserve">Abrangencia</x:t>
  </x:si>
  <x:si>
    <x:t xml:space="preserve">DiaUtil</x:t>
  </x:si>
  <x:si>
    <x:t xml:space="preserve">Fonte ou observacao</x:t>
  </x:si>
  <x:si>
    <x:t xml:space="preserve">Confraternização Universal</x:t>
  </x:si>
  <x:si>
    <x:t xml:space="preserve">Nacional</x:t>
  </x:si>
  <x:si>
    <x:t xml:space="preserve">Calendário nacional</x:t>
  </x:si>
  <x:si>
    <x:t xml:space="preserve">São Sebastião, padroeiro de Cajamar</x:t>
  </x:si>
  <x:si>
    <x:t xml:space="preserve">Municipal</x:t>
  </x:si>
  <x:si>
    <x:t xml:space="preserve">Prefeitura de Cajamar</x:t>
  </x:si>
  <x:si>
    <x:t xml:space="preserve">Aniversário de Cajamar</x:t>
  </x:si>
  <x:si>
    <x:t xml:space="preserve">Paixão de Cristo</x:t>
  </x:si>
  <x:si>
    <x:t xml:space="preserve">Tiradentes</x:t>
  </x:si>
  <x:si>
    <x:t xml:space="preserve">Dia do Trabalho</x:t>
  </x:si>
  <x:si>
    <x:t xml:space="preserve">Corpus Christi</x:t>
  </x:si>
  <x:si>
    <x:t xml:space="preserve">Revolução Constitucionalista de 1932</x:t>
  </x:si>
  <x:si>
    <x:t xml:space="preserve">Estadual</x:t>
  </x:si>
  <x:si>
    <x:t xml:space="preserve">Estado de São Paulo</x:t>
  </x:si>
  <x:si>
    <x:t xml:space="preserve">Independência do Brasil</x:t>
  </x:si>
  <x:si>
    <x:t xml:space="preserve">Nossa Senhora Aparecida</x:t>
  </x:si>
  <x:si>
    <x:t xml:space="preserve">Finados</x:t>
  </x:si>
  <x:si>
    <x:t xml:space="preserve">Proclamação da República</x:t>
  </x:si>
  <x:si>
    <x:t xml:space="preserve">Dia Nacional de Zumbi e da Consciência Negra</x:t>
  </x:si>
  <x:si>
    <x:t xml:space="preserve">Natal</x:t>
  </x:si>
  <x:si>
    <x:t xml:space="preserve">Exceção manual</x:t>
  </x:si>
  <x:si>
    <x:t xml:space="preserve">Operacional</x:t>
  </x:si>
  <x:si>
    <x:t xml:space="preserve">Preencher data, regra e ativar</x:t>
  </x:si>
  <x:si>
    <x:t xml:space="preserve">Metas por etapa</x:t>
  </x:si>
  <x:si>
    <x:t xml:space="preserve">As metas começam vazias. Até a aprovação, o dashboard mostra as distribuições sem classificar a etapa.</x:t>
  </x:si>
  <x:si>
    <x:t xml:space="preserve">EtapaOrigem</x:t>
  </x:si>
  <x:si>
    <x:t xml:space="preserve">EtapaDestino</x:t>
  </x:si>
  <x:si>
    <x:t xml:space="preserve">MetaHorasUteis</x:t>
  </x:si>
  <x:si>
    <x:t xml:space="preserve">Status</x:t>
  </x:si>
  <x:si>
    <x:t xml:space="preserve">Creation</x:t>
  </x:si>
  <x:si>
    <x:t xml:space="preserve">Released</x:t>
  </x:si>
  <x:si>
    <x:t xml:space="preserve">Allocated</x:t>
  </x:si>
  <x:si>
    <x:t xml:space="preserve">In Progress</x:t>
  </x:si>
  <x:si>
    <x:t xml:space="preserve">Picked</x:t>
  </x:si>
  <x:si>
    <x:t xml:space="preserve">Packed</x:t>
  </x:si>
  <x:si>
    <x:t xml:space="preserve">Ready to Load</x:t>
  </x:si>
  <x:si>
    <x:t xml:space="preserve">Complete</x:t>
  </x:si>
  <x:si>
    <x:t xml:space="preserve">Shipped</x:t>
  </x:si>
  <x:si>
    <x:t xml:space="preserve">Regras de qualidade</x:t>
  </x:si>
  <x:si>
    <x:t xml:space="preserve">Limites usados para explicar a confiabilidade dos tempos. Edite somente os valores amarelos.</x:t>
  </x:si>
  <x:si>
    <x:t xml:space="preserve">Parametro</x:t>
  </x:si>
  <x:si>
    <x:t xml:space="preserve">Valor</x:t>
  </x:si>
  <x:si>
    <x:t xml:space="preserve">Unidade</x:t>
  </x:si>
  <x:si>
    <x:t xml:space="preserve">Aplicacao</x:t>
  </x:si>
  <x:si>
    <x:t xml:space="preserve">CoberturaConfiavel</x:t>
  </x:si>
  <x:si>
    <x:t xml:space="preserve">%</x:t>
  </x:si>
  <x:si>
    <x:t xml:space="preserve">Cobertura igual ou superior: confiável</x:t>
  </x:si>
  <x:si>
    <x:t xml:space="preserve">CoberturaAtencao</x:t>
  </x:si>
  <x:si>
    <x:t xml:space="preserve">Cobertura entre este valor e o confiável: atenção</x:t>
  </x:si>
  <x:si>
    <x:t xml:space="preserve">AlertaDuracaoZero</x:t>
  </x:si>
  <x:si>
    <x:t xml:space="preserve">Alerta quando a proporção de durações zero ultrapassa o valor</x:t>
  </x:si>
  <x:si>
    <x:t xml:space="preserve">HorasDiaUtil</x:t>
  </x:si>
  <x:si>
    <x:t xml:space="preserve">horas</x:t>
  </x:si>
  <x:si>
    <x:t xml:space="preserve">Conversão de horas úteis para dias úteis equivalentes</x:t>
  </x:si>
  <x:si>
    <x:t xml:space="preserve">Regras de prazo do Gross por cliente</x:t>
  </x:si>
  <x:si>
    <x:t xml:space="preserve">Cada RegraID pode ter várias faixas. O início da faixa é exclusivo e o fim é inclusivo; campos vazios representam o início ou o fim do dia.</x:t>
  </x:si>
  <x:si>
    <x:t xml:space="preserve">RegraID</x:t>
  </x:si>
  <x:si>
    <x:t xml:space="preserve">EtapaInicial</x:t>
  </x:si>
  <x:si>
    <x:t xml:space="preserve">EtapaFinal</x:t>
  </x:si>
  <x:si>
    <x:t xml:space="preserve">HoraInicioExclusiva</x:t>
  </x:si>
  <x:si>
    <x:t xml:space="preserve">HoraFimInclusiva</x:t>
  </x:si>
  <x:si>
    <x:t xml:space="preserve">TipoPrazo</x:t>
  </x:si>
  <x:si>
    <x:t xml:space="preserve">DiasUteis</x:t>
  </x:si>
  <x:si>
    <x:t xml:space="preserve">HoraLimite</x:t>
  </x:si>
  <x:si>
    <x:t xml:space="preserve">HorasUteis</x:t>
  </x:si>
  <x:si>
    <x:t xml:space="preserve">ToleranciaMinutos</x:t>
  </x:si>
  <x:si>
    <x:t xml:space="preserve">PADRAO</x:t>
  </x:si>
  <x:si>
    <x:t xml:space="preserve">Dia útil + hora</x:t>
  </x:si>
  <x:si>
    <x:t xml:space="preserve">Alocado até 14h: concluir no mesmo dia útil até 17h</x:t>
  </x:si>
  <x:si>
    <x:t xml:space="preserve">Alocado após 14h: concluir no próximo dia útil até 17h</x:t>
  </x:si>
  <x:si>
    <x:t xml:space="preserve">Alocado até 14h: concluir no mesmo dia útil até 20h</x:t>
  </x:si>
  <x:si>
    <x:t xml:space="preserve">Alocado após 14h: concluir em D+2 útil até 20h</x:t>
  </x:si>
  <x:si>
    <x:t xml:space="preserve">Migração das fontes Outbound</x:t>
  </x:si>
  <x:si>
    <x:t xml:space="preserve">A data de corte é inclusiva na nova fonte. Antes dela, o histórico continua vindo de OverviewOrder.</x:t>
  </x:si>
  <x:si>
    <x:t xml:space="preserve">ArquivoCSV</x:t>
  </x:si>
  <x:si>
    <x:t xml:space="preserve">DataCorte</x:t>
  </x:si>
  <x:si>
    <x:t xml:space="preserve">ClientAliasFonte</x:t>
  </x:si>
  <x:si>
    <x:t xml:space="preserve">OwnerObrigatorio</x:t>
  </x:si>
  <x:si>
    <x:t xml:space="preserve">ALGAR.csv</x:t>
  </x:si>
  <x:si>
    <x:t xml:space="preserve">BRALGAR</x:t>
  </x:si>
  <x:si>
    <x:t xml:space="preserve">Owners TELECOM e VOGEL</x:t>
  </x:si>
  <x:si>
    <x:t xml:space="preserve">Ativa</x:t>
  </x:si>
  <x:si>
    <x:t xml:space="preserve">ASUS.csv</x:t>
  </x:si>
  <x:si>
    <x:t xml:space="preserve">BRACBZ</x:t>
  </x:si>
  <x:si>
    <x:t xml:space="preserve">Owners ECOMM e RETAIL</x:t>
  </x:si>
  <x:si>
    <x:t xml:space="preserve">BAT.csv</x:t>
  </x:si>
  <x:si>
    <x:t xml:space="preserve">BRBAT</x:t>
  </x:si>
  <x:si>
    <x:t xml:space="preserve">Owner único normalizado para PRINCIPAL</x:t>
  </x:si>
  <x:si>
    <x:t xml:space="preserve">BT.csv</x:t>
  </x:si>
  <x:si>
    <x:t xml:space="preserve">BRBT</x:t>
  </x:si>
  <x:si>
    <x:t xml:space="preserve">CORBION.csv</x:t>
  </x:si>
  <x:si>
    <x:t xml:space="preserve">BRCORBION</x:t>
  </x:si>
  <x:si>
    <x:t xml:space="preserve">DUCATI.csv</x:t>
  </x:si>
  <x:si>
    <x:t xml:space="preserve">BRDUCATIMO</x:t>
  </x:si>
  <x:si>
    <x:t xml:space="preserve">GAC.csv</x:t>
  </x:si>
  <x:si>
    <x:t xml:space="preserve">BRGACMES</x:t>
  </x:si>
  <x:si>
    <x:t xml:space="preserve">GWM.csv</x:t>
  </x:si>
  <x:si>
    <x:t xml:space="preserve">BRGWM</x:t>
  </x:si>
  <x:si>
    <x:t xml:space="preserve">HARLEY.csv</x:t>
  </x:si>
  <x:si>
    <x:t xml:space="preserve">BRHARLD</x:t>
  </x:si>
  <x:si>
    <x:t xml:space="preserve">JETOUR.csv</x:t>
  </x:si>
  <x:si>
    <x:t xml:space="preserve">BRCJ1JET</x:t>
  </x:si>
  <x:si>
    <x:t xml:space="preserve">OLESEN.csv</x:t>
  </x:si>
  <x:si>
    <x:t xml:space="preserve">BROLESEN</x:t>
  </x:si>
  <x:si>
    <x:t xml:space="preserve">OMODA.csv</x:t>
  </x:si>
  <x:si>
    <x:t xml:space="preserve">BROMODA</x:t>
  </x:si>
  <x:si>
    <x:t xml:space="preserve">ROQUETTE.csv</x:t>
  </x:si>
  <x:si>
    <x:t xml:space="preserve">BRRQTCAJ</x:t>
  </x:si>
  <x:si>
    <x:t xml:space="preserve">SAIC.csv</x:t>
  </x:si>
  <x:si>
    <x:t xml:space="preserve">BRSAIC</x:t>
  </x:si>
  <x:si>
    <x:t xml:space="preserve">XYSS.csv</x:t>
  </x:si>
  <x:si>
    <x:t xml:space="preserve">BRCJ1XYS</x:t>
  </x:si>
  <x:si>
    <x:t xml:space="preserve">JAC.csv</x:t>
  </x:si>
  <x:si>
    <x:t xml:space="preserve">BRJAC</x:t>
  </x:si>
  <x:si>
    <x:t xml:space="preserve">Normalização de Owner do Outbound</x:t>
  </x:si>
  <x:si>
    <x:t xml:space="preserve">OwnerRaw preserva o valor recebido; OwnerKey e OwnerName controlam filtros e parâmetros.</x:t>
  </x:si>
  <x:si>
    <x:t xml:space="preserve">OwnerAlias</x:t>
  </x:si>
  <x:si>
    <x:t xml:space="preserve">OwnerName</x:t>
  </x:si>
  <x:si>
    <x:t xml:space="preserve">TELECOM</x:t>
  </x:si>
  <x:si>
    <x:t xml:space="preserve">Telecom</x:t>
  </x:si>
  <x:si>
    <x:t xml:space="preserve">Divisão operacional</x:t>
  </x:si>
  <x:si>
    <x:t xml:space="preserve">VOGEL</x:t>
  </x:si>
  <x:si>
    <x:t xml:space="preserve">Vogel</x:t>
  </x:si>
  <x:si>
    <x:t xml:space="preserve">ACBZECOM</x:t>
  </x:si>
  <x:si>
    <x:t xml:space="preserve">ECOMM</x:t>
  </x:si>
  <x:si>
    <x:t xml:space="preserve">E-commerce</x:t>
  </x:si>
  <x:si>
    <x:t xml:space="preserve">ASUS e-commerce</x:t>
  </x:si>
  <x:si>
    <x:t xml:space="preserve">ACBZRETAIL</x:t>
  </x:si>
  <x:si>
    <x:t xml:space="preserve">RETAIL</x:t>
  </x:si>
  <x:si>
    <x:t xml:space="preserve">Retail</x:t>
  </x:si>
  <x:si>
    <x:t xml:space="preserve">ASUS varejo</x:t>
  </x:si>
  <x:si>
    <x:t xml:space="preserve">PRINCIPAL</x:t>
  </x:si>
  <x:si>
    <x:t xml:space="preserve">Principal</x:t>
  </x:si>
  <x:si>
    <x:t xml:space="preserve">Owner único</x:t>
  </x:si>
  <x:si>
    <x:t xml:space="preserve">Migração da fonte Inbound</x:t>
  </x:si>
  <x:si>
    <x:t xml:space="preserve">O corte é inclusivo na base consolidada. Antes dele, o histórico permanece em OverviewAdvice.</x:t>
  </x:si>
  <x:si>
    <x:t xml:space="preserve">inbound_consolidado.csv</x:t>
  </x:si>
  <x:si>
    <x:t xml:space="preserve">Fonte consolidada Inbound</x:t>
  </x:si>
  <x:si>
    <x:t xml:space="preserve">AMZNLABS</x:t>
  </x:si>
  <x:si>
    <x:t xml:space="preserve">BRAMZNLABS</x:t>
  </x:si>
  <x:si>
    <x:t xml:space="preserve">BRCLAROSPO</x:t>
  </x:si>
  <x:si>
    <x:t xml:space="preserve">COMBA</x:t>
  </x:si>
  <x:si>
    <x:t xml:space="preserve">BRCOMBA</x:t>
  </x:si>
  <x:si>
    <x:t xml:space="preserve">BREDELWHIT</x:t>
  </x:si>
  <x:si>
    <x:t xml:space="preserve">BRFIVEHNDS</x:t>
  </x:si>
  <x:si>
    <x:t xml:space="preserve">BRGNUTRA</x:t>
  </x:si>
  <x:si>
    <x:t xml:space="preserve">BRHANSEN</x:t>
  </x:si>
  <x:si>
    <x:t xml:space="preserve">MART</x:t>
  </x:si>
  <x:si>
    <x:t xml:space="preserve">BRMART</x:t>
  </x:si>
  <x:si>
    <x:t xml:space="preserve">BRMWC</x:t>
  </x:si>
  <x:si>
    <x:t xml:space="preserve">BRSCANDERR</x:t>
  </x:si>
  <x:si>
    <x:t xml:space="preserve">Regras de prazo do Inbound por cliente</x:t>
  </x:si>
  <x:si>
    <x:t xml:space="preserve">Início e fim são configuráveis. O padrão inicial usa 24 horas úteis; ajuste o SLA de cada cliente quando necessário.</x:t>
  </x:si>
  <x:si>
    <x:t xml:space="preserve">Finish</x:t>
  </x:si>
  <x:si>
    <x:t xml:space="preserve">Horas úteis</x:t>
  </x:si>
  <x:si>
    <x:t xml:space="preserve">SLA inicial recomendado: 24 horas úteis; revise por cliente</x:t>
  </x:si>
  <x:si>
    <x:t xml:space="preserve">Data de vencimento da fonte</x:t>
  </x:si>
  <x:si>
    <x:t xml:space="preserve">Due Date define o prazo; início e fim podem ser alterados</x:t>
  </x:si>
</x:sst>
</file>

<file path=xl/styles.xml><?xml version="1.0" encoding="utf-8"?>
<x:styleSheet xmlns:x="http://schemas.openxmlformats.org/spreadsheetml/2006/main">
  <x:numFmts count="3">
    <x:numFmt numFmtId="164" formatCode="0.0"/>
    <x:numFmt numFmtId="165" formatCode="0.0%"/>
    <x:numFmt numFmtId="200" formatCode="dd/mm/yyyy"/>
  </x:numFmts>
  <x:fonts count="5">
    <x:font>
      <x:sz val="11"/>
      <x:name val="Carlito"/>
    </x:font>
    <x:font>
      <x:sz val="10"/>
      <x:color rgb="FF172033"/>
      <x:name val="Arial"/>
    </x:font>
    <x:font>
      <x:b/>
      <x:sz val="15"/>
      <x:color rgb="FF002664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002664"/>
      </x:patternFill>
    </x:fill>
    <x:fill>
      <x:patternFill patternType="solid">
        <x:fgColor rgb="FFFFF2CC"/>
      </x:patternFill>
    </x:fill>
    <x:fill>
      <x:patternFill patternType="solid">
        <x:fgColor rgb="FF002664"/>
      </x:patternFill>
    </x:fill>
    <x:fill>
      <x:patternFill patternType="solid">
        <x:fgColor rgb="FFFFF2CC"/>
      </x:patternFill>
    </x:fill>
    <x:fill>
      <x:patternFill patternType="solid">
        <x:fgColor rgb="FF002664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002664"/>
      </x:patternFill>
    </x:fill>
    <x:fill>
      <x:patternFill patternType="solid">
        <x:fgColor rgb="FFFFF2CC"/>
      </x:patternFill>
    </x:fill>
    <x:fill>
      <x:patternFill patternType="solid">
        <x:fgColor rgb="FF002664"/>
      </x:patternFill>
    </x:fill>
    <x:fill>
      <x:patternFill patternType="solid">
        <x:fgColor rgb="FFFFF2CC"/>
      </x:patternFill>
    </x:fill>
  </x:fills>
  <x:borders count="8">
    <x:border/>
    <x:border>
      <x:bottom style="thin">
        <x:color rgb="FF004B93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DCE2EA"/>
      </x:bottom>
    </x:border>
    <x:border>
      <x:top style="thin">
        <x:color rgb="FFDCE2EA"/>
      </x:top>
      <x:bottom style="thin">
        <x:color rgb="FFDCE2EA"/>
      </x:bottom>
    </x:border>
    <x:border>
      <x:top style="thin">
        <x:color rgb="FFDCE2EA"/>
      </x:top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116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4" fillId="2" borderId="2" xfId="0" applyFont="1" applyFill="1" applyBorder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 wrapText="1"/>
    </x:xf>
    <x:xf numFmtId="0" fontId="1" fillId="0" borderId="4" xfId="0" applyFont="1" applyBorder="1" applyAlignment="1">
      <x:alignment vertical="center"/>
    </x:xf>
    <x:xf numFmtId="0" fontId="1" fillId="0" borderId="5" xfId="0" applyFont="1" applyBorder="1" applyAlignment="1">
      <x:alignment vertical="center"/>
    </x:xf>
    <x:xf numFmtId="0" fontId="1" fillId="0" borderId="6" xfId="0" applyFont="1" applyBorder="1" applyAlignment="1">
      <x:alignment vertical="center"/>
    </x:xf>
    <x:xf numFmtId="0" fontId="1" fillId="0" borderId="4" xfId="0" applyFont="1" applyBorder="1" applyAlignment="1">
      <x:alignment vertical="center" wrapText="1"/>
    </x:xf>
    <x:xf numFmtId="0" fontId="1" fillId="0" borderId="5" xfId="0" applyFont="1" applyBorder="1" applyAlignment="1">
      <x:alignment vertical="center" wrapText="1"/>
    </x:xf>
    <x:xf numFmtId="0" fontId="1" fillId="0" borderId="6" xfId="0" applyFont="1" applyBorder="1" applyAlignment="1">
      <x:alignment vertical="center" wrapText="1"/>
    </x:xf>
    <x:xf numFmtId="0" fontId="1" fillId="0" borderId="0" xfId="0" applyFont="1" applyAlignment="1">
      <x:alignment wrapText="1"/>
    </x:xf>
    <x:xf numFmtId="0" fontId="4" fillId="2" borderId="7" xfId="0" applyFont="1" applyFill="1" applyBorder="1" applyAlignment="1">
      <x:alignment horizontal="center" vertical="center" wrapText="1"/>
    </x:xf>
    <x:xf numFmtId="0" fontId="1" fillId="3" borderId="4" xfId="0" applyFont="1" applyFill="1" applyBorder="1" applyAlignment="1">
      <x:alignment vertical="center"/>
    </x:xf>
    <x:xf numFmtId="0" fontId="1" fillId="3" borderId="5" xfId="0" applyFont="1" applyFill="1" applyBorder="1" applyAlignment="1">
      <x:alignment vertical="center"/>
    </x:xf>
    <x:xf numFmtId="0" fontId="1" fillId="3" borderId="6" xfId="0" applyFont="1" applyFill="1" applyBorder="1" applyAlignment="1">
      <x:alignment vertical="center"/>
    </x:xf>
    <x:xf numFmtId="3" fontId="1" fillId="3" borderId="4" xfId="0" applyNumberFormat="1" applyFont="1" applyFill="1" applyBorder="1" applyAlignment="1">
      <x:alignment vertical="center"/>
    </x:xf>
    <x:xf numFmtId="3" fontId="1" fillId="0" borderId="4" xfId="0" applyNumberFormat="1" applyFont="1" applyBorder="1" applyAlignment="1">
      <x:alignment vertical="center"/>
    </x:xf>
    <x:xf numFmtId="3" fontId="1" fillId="3" borderId="5" xfId="0" applyNumberFormat="1" applyFont="1" applyFill="1" applyBorder="1" applyAlignment="1">
      <x:alignment vertical="center"/>
    </x:xf>
    <x:xf numFmtId="3" fontId="1" fillId="0" borderId="5" xfId="0" applyNumberFormat="1" applyFont="1" applyBorder="1" applyAlignment="1">
      <x:alignment vertical="center"/>
    </x:xf>
    <x:xf numFmtId="3" fontId="1" fillId="3" borderId="6" xfId="0" applyNumberFormat="1" applyFont="1" applyFill="1" applyBorder="1" applyAlignment="1">
      <x:alignment vertical="center"/>
    </x:xf>
    <x:xf numFmtId="3" fontId="1" fillId="0" borderId="6" xfId="0" applyNumberFormat="1" applyFont="1" applyBorder="1" applyAlignment="1">
      <x:alignment vertical="center"/>
    </x:xf>
    <x:xf numFmtId="14" fontId="1" fillId="3" borderId="4" xfId="0" applyNumberFormat="1" applyFont="1" applyFill="1" applyBorder="1" applyAlignment="1">
      <x:alignment vertical="center"/>
    </x:xf>
    <x:xf numFmtId="14" fontId="1" fillId="3" borderId="5" xfId="0" applyNumberFormat="1" applyFont="1" applyFill="1" applyBorder="1" applyAlignment="1">
      <x:alignment vertical="center"/>
    </x:xf>
    <x:xf numFmtId="14" fontId="1" fillId="3" borderId="6" xfId="0" applyNumberFormat="1" applyFont="1" applyFill="1" applyBorder="1" applyAlignment="1">
      <x:alignment vertical="center"/>
    </x:xf>
    <x:xf numFmtId="14" fontId="1" fillId="0" borderId="4" xfId="0" applyNumberFormat="1" applyFont="1" applyBorder="1" applyAlignment="1">
      <x:alignment vertical="center"/>
    </x:xf>
    <x:xf numFmtId="14" fontId="1" fillId="0" borderId="5" xfId="0" applyNumberFormat="1" applyFont="1" applyBorder="1" applyAlignment="1">
      <x:alignment vertical="center"/>
    </x:xf>
    <x:xf numFmtId="164" fontId="1" fillId="3" borderId="4" xfId="0" applyNumberFormat="1" applyFont="1" applyFill="1" applyBorder="1" applyAlignment="1">
      <x:alignment vertical="center"/>
    </x:xf>
    <x:xf numFmtId="164" fontId="1" fillId="3" borderId="5" xfId="0" applyNumberFormat="1" applyFont="1" applyFill="1" applyBorder="1" applyAlignment="1">
      <x:alignment vertical="center"/>
    </x:xf>
    <x:xf numFmtId="164" fontId="1" fillId="3" borderId="6" xfId="0" applyNumberFormat="1" applyFont="1" applyFill="1" applyBorder="1" applyAlignment="1">
      <x:alignment vertical="center"/>
    </x:xf>
    <x:xf numFmtId="165" fontId="1" fillId="3" borderId="4" xfId="0" applyNumberFormat="1" applyFont="1" applyFill="1" applyBorder="1" applyAlignment="1">
      <x:alignment vertical="center"/>
    </x:xf>
    <x:xf numFmtId="165" fontId="1" fillId="3" borderId="5" xfId="0" applyNumberFormat="1" applyFont="1" applyFill="1" applyBorder="1" applyAlignment="1">
      <x:alignment vertical="center"/>
    </x:xf>
    <x:xf numFmtId="20" fontId="1" fillId="0" borderId="4" xfId="0" applyNumberFormat="1" applyFont="1" applyBorder="1" applyAlignment="1">
      <x:alignment vertical="center"/>
    </x:xf>
    <x:xf numFmtId="0" fontId="4" fillId="4" borderId="2" xfId="0" applyFont="1" applyFill="1" applyBorder="1" applyAlignment="1">
      <x:alignment horizontal="center" vertical="center" wrapText="1"/>
    </x:xf>
    <x:xf numFmtId="0" fontId="4" fillId="4" borderId="7" xfId="0" applyFont="1" applyFill="1" applyBorder="1" applyAlignment="1">
      <x:alignment horizontal="center" vertical="center" wrapText="1"/>
    </x:xf>
    <x:xf numFmtId="0" fontId="4" fillId="4" borderId="3" xfId="0" applyFont="1" applyFill="1" applyBorder="1" applyAlignment="1">
      <x:alignment horizontal="center" vertical="center" wrapText="1"/>
    </x:xf>
    <x:xf numFmtId="0" fontId="1" fillId="5" borderId="4" xfId="0" applyFont="1" applyFill="1" applyBorder="1" applyAlignment="1">
      <x:alignment vertical="center"/>
    </x:xf>
    <x:xf numFmtId="0" fontId="1" fillId="5" borderId="5" xfId="0" applyFont="1" applyFill="1" applyBorder="1" applyAlignment="1">
      <x:alignment vertical="center"/>
    </x:xf>
    <x:xf numFmtId="0" fontId="1" fillId="5" borderId="6" xfId="0" applyFont="1" applyFill="1" applyBorder="1" applyAlignment="1">
      <x:alignment vertical="center"/>
    </x:xf>
    <x:xf numFmtId="20" fontId="1" fillId="5" borderId="4" xfId="0" applyNumberFormat="1" applyFont="1" applyFill="1" applyBorder="1" applyAlignment="1">
      <x:alignment vertical="center"/>
    </x:xf>
    <x:xf numFmtId="20" fontId="1" fillId="5" borderId="5" xfId="0" applyNumberFormat="1" applyFont="1" applyFill="1" applyBorder="1" applyAlignment="1">
      <x:alignment vertical="center"/>
    </x:xf>
    <x:xf numFmtId="20" fontId="1" fillId="5" borderId="6" xfId="0" applyNumberFormat="1" applyFont="1" applyFill="1" applyBorder="1" applyAlignment="1">
      <x:alignment vertical="center"/>
    </x:xf>
    <x:xf numFmtId="1" fontId="1" fillId="5" borderId="4" xfId="0" applyNumberFormat="1" applyFont="1" applyFill="1" applyBorder="1" applyAlignment="1">
      <x:alignment vertical="center"/>
    </x:xf>
    <x:xf numFmtId="1" fontId="1" fillId="5" borderId="5" xfId="0" applyNumberFormat="1" applyFont="1" applyFill="1" applyBorder="1" applyAlignment="1">
      <x:alignment vertical="center"/>
    </x:xf>
    <x:xf numFmtId="1" fontId="1" fillId="5" borderId="6" xfId="0" applyNumberFormat="1" applyFont="1" applyFill="1" applyBorder="1" applyAlignment="1">
      <x:alignment vertical="center"/>
    </x:xf>
    <x:xf numFmtId="164" fontId="1" fillId="5" borderId="4" xfId="0" applyNumberFormat="1" applyFont="1" applyFill="1" applyBorder="1" applyAlignment="1">
      <x:alignment vertical="center"/>
    </x:xf>
    <x:xf numFmtId="164" fontId="1" fillId="5" borderId="5" xfId="0" applyNumberFormat="1" applyFont="1" applyFill="1" applyBorder="1" applyAlignment="1">
      <x:alignment vertical="center"/>
    </x:xf>
    <x:xf numFmtId="164" fontId="1" fillId="5" borderId="6" xfId="0" applyNumberFormat="1" applyFont="1" applyFill="1" applyBorder="1" applyAlignment="1">
      <x:alignment vertical="center"/>
    </x:xf>
    <x:xf numFmtId="14" fontId="1" fillId="5" borderId="4" xfId="0" applyNumberFormat="1" applyFont="1" applyFill="1" applyBorder="1" applyAlignment="1">
      <x:alignment vertical="center"/>
    </x:xf>
    <x:xf numFmtId="14" fontId="1" fillId="5" borderId="5" xfId="0" applyNumberFormat="1" applyFont="1" applyFill="1" applyBorder="1" applyAlignment="1">
      <x:alignment vertical="center"/>
    </x:xf>
    <x:xf numFmtId="14" fontId="1" fillId="5" borderId="6" xfId="0" applyNumberFormat="1" applyFont="1" applyFill="1" applyBorder="1" applyAlignment="1">
      <x:alignment vertical="center"/>
    </x:xf>
    <x:xf numFmtId="0" fontId="4" fillId="6" borderId="0" xfId="0" applyFont="1" applyFill="1" applyAlignment="1">
      <x:alignment horizontal="center" vertical="center" wrapText="1"/>
    </x:xf>
    <x:xf numFmtId="0" fontId="1" fillId="7" borderId="4" xfId="0" applyFont="1" applyFill="1" applyBorder="1" applyAlignment="1">
      <x:alignment vertical="center"/>
    </x:xf>
    <x:xf numFmtId="0" fontId="1" fillId="7" borderId="5" xfId="0" applyFont="1" applyFill="1" applyBorder="1" applyAlignment="1">
      <x:alignment vertical="center"/>
    </x:xf>
    <x:xf numFmtId="0" fontId="1" fillId="7" borderId="6" xfId="0" applyFont="1" applyFill="1" applyBorder="1" applyAlignment="1">
      <x:alignment vertical="center"/>
    </x:xf>
    <x:xf numFmtId="0" fontId="4" fillId="6" borderId="2" xfId="0" applyFont="1" applyFill="1" applyBorder="1" applyAlignment="1">
      <x:alignment horizontal="center" vertical="center" wrapText="1"/>
    </x:xf>
    <x:xf numFmtId="0" fontId="4" fillId="6" borderId="7" xfId="0" applyFont="1" applyFill="1" applyBorder="1" applyAlignment="1">
      <x:alignment horizontal="center" vertical="center" wrapText="1"/>
    </x:xf>
    <x:xf numFmtId="0" fontId="4" fillId="6" borderId="3" xfId="0" applyFont="1" applyFill="1" applyBorder="1" applyAlignment="1">
      <x:alignment horizontal="center" vertical="center" wrapText="1"/>
    </x:xf>
    <x:xf numFmtId="0" fontId="1" fillId="0" borderId="0" xfId="0" applyFont="1" applyAlignment="1">
      <x:alignment vertical="center"/>
    </x:xf>
    <x:xf numFmtId="14" fontId="1" fillId="7" borderId="4" xfId="0" applyNumberFormat="1" applyFont="1" applyFill="1" applyBorder="1" applyAlignment="1">
      <x:alignment vertical="center"/>
    </x:xf>
    <x:xf numFmtId="14" fontId="1" fillId="7" borderId="5" xfId="0" applyNumberFormat="1" applyFont="1" applyFill="1" applyBorder="1" applyAlignment="1">
      <x:alignment vertical="center"/>
    </x:xf>
    <x:xf numFmtId="14" fontId="1" fillId="7" borderId="6" xfId="0" applyNumberFormat="1" applyFont="1" applyFill="1" applyBorder="1" applyAlignment="1">
      <x:alignment vertical="center"/>
    </x:xf>
    <x:xf numFmtId="0" fontId="1" fillId="8" borderId="0" xfId="0" applyFont="1" applyFill="1" applyAlignment="1">
      <x:alignment vertical="center"/>
    </x:xf>
    <x:xf numFmtId="14" fontId="1" fillId="8" borderId="0" xfId="0" applyNumberFormat="1" applyFont="1" applyFill="1" applyAlignment="1">
      <x:alignment vertical="center"/>
    </x:xf>
    <x:xf numFmtId="0" fontId="1" fillId="8" borderId="4" xfId="0" applyFont="1" applyFill="1" applyBorder="1" applyAlignment="1">
      <x:alignment vertical="center"/>
    </x:xf>
    <x:xf numFmtId="20" fontId="1" fillId="8" borderId="4" xfId="0" applyNumberFormat="1" applyFont="1" applyFill="1" applyBorder="1" applyAlignment="1">
      <x:alignment vertical="center"/>
    </x:xf>
    <x:xf numFmtId="1" fontId="1" fillId="8" borderId="4" xfId="0" applyNumberFormat="1" applyFont="1" applyFill="1" applyBorder="1" applyAlignment="1">
      <x:alignment vertical="center"/>
    </x:xf>
    <x:xf numFmtId="164" fontId="1" fillId="8" borderId="4" xfId="0" applyNumberFormat="1" applyFont="1" applyFill="1" applyBorder="1" applyAlignment="1">
      <x:alignment vertical="center"/>
    </x:xf>
    <x:xf numFmtId="14" fontId="1" fillId="8" borderId="4" xfId="0" applyNumberFormat="1" applyFont="1" applyFill="1" applyBorder="1" applyAlignment="1">
      <x:alignment vertical="center"/>
    </x:xf>
    <x:xf numFmtId="0" fontId="1" fillId="8" borderId="5" xfId="0" applyFont="1" applyFill="1" applyBorder="1" applyAlignment="1">
      <x:alignment vertical="center"/>
    </x:xf>
    <x:xf numFmtId="20" fontId="1" fillId="8" borderId="5" xfId="0" applyNumberFormat="1" applyFont="1" applyFill="1" applyBorder="1" applyAlignment="1">
      <x:alignment vertical="center"/>
    </x:xf>
    <x:xf numFmtId="1" fontId="1" fillId="8" borderId="5" xfId="0" applyNumberFormat="1" applyFont="1" applyFill="1" applyBorder="1" applyAlignment="1">
      <x:alignment vertical="center"/>
    </x:xf>
    <x:xf numFmtId="164" fontId="1" fillId="8" borderId="5" xfId="0" applyNumberFormat="1" applyFont="1" applyFill="1" applyBorder="1" applyAlignment="1">
      <x:alignment vertical="center"/>
    </x:xf>
    <x:xf numFmtId="14" fontId="1" fillId="8" borderId="5" xfId="0" applyNumberFormat="1" applyFont="1" applyFill="1" applyBorder="1" applyAlignment="1">
      <x:alignment vertical="center"/>
    </x:xf>
    <x:xf numFmtId="0" fontId="4" fillId="9" borderId="2" xfId="0" applyFont="1" applyFill="1" applyBorder="1" applyAlignment="1">
      <x:alignment horizontal="center" vertical="center" wrapText="1"/>
    </x:xf>
    <x:xf numFmtId="0" fontId="4" fillId="9" borderId="7" xfId="0" applyFont="1" applyFill="1" applyBorder="1" applyAlignment="1">
      <x:alignment horizontal="center" vertical="center" wrapText="1"/>
    </x:xf>
    <x:xf numFmtId="0" fontId="4" fillId="9" borderId="3" xfId="0" applyFont="1" applyFill="1" applyBorder="1" applyAlignment="1">
      <x:alignment horizontal="center" vertical="center" wrapText="1"/>
    </x:xf>
    <x:xf numFmtId="0" fontId="1" fillId="10" borderId="4" xfId="0" applyFont="1" applyFill="1" applyBorder="1" applyAlignment="1">
      <x:alignment vertical="center"/>
    </x:xf>
    <x:xf numFmtId="0" fontId="1" fillId="10" borderId="5" xfId="0" applyFont="1" applyFill="1" applyBorder="1" applyAlignment="1">
      <x:alignment vertical="center"/>
    </x:xf>
    <x:xf numFmtId="0" fontId="1" fillId="10" borderId="6" xfId="0" applyFont="1" applyFill="1" applyBorder="1" applyAlignment="1">
      <x:alignment vertical="center"/>
    </x:xf>
    <x:xf numFmtId="14" fontId="1" fillId="10" borderId="4" xfId="0" applyNumberFormat="1" applyFont="1" applyFill="1" applyBorder="1" applyAlignment="1">
      <x:alignment vertical="center"/>
    </x:xf>
    <x:xf numFmtId="14" fontId="1" fillId="10" borderId="5" xfId="0" applyNumberFormat="1" applyFont="1" applyFill="1" applyBorder="1" applyAlignment="1">
      <x:alignment vertical="center"/>
    </x:xf>
    <x:xf numFmtId="14" fontId="1" fillId="10" borderId="6" xfId="0" applyNumberFormat="1" applyFont="1" applyFill="1" applyBorder="1" applyAlignment="1">
      <x:alignment vertical="center"/>
    </x:xf>
    <x:xf numFmtId="20" fontId="1" fillId="10" borderId="4" xfId="0" applyNumberFormat="1" applyFont="1" applyFill="1" applyBorder="1" applyAlignment="1">
      <x:alignment vertical="center"/>
    </x:xf>
    <x:xf numFmtId="20" fontId="1" fillId="10" borderId="5" xfId="0" applyNumberFormat="1" applyFont="1" applyFill="1" applyBorder="1" applyAlignment="1">
      <x:alignment vertical="center"/>
    </x:xf>
    <x:xf numFmtId="20" fontId="1" fillId="10" borderId="6" xfId="0" applyNumberFormat="1" applyFont="1" applyFill="1" applyBorder="1" applyAlignment="1">
      <x:alignment vertical="center"/>
    </x:xf>
    <x:xf numFmtId="0" fontId="2" fillId="0" borderId="0" xfId="0" applyFont="1"/>
    <x:xf numFmtId="0" fontId="1" fillId="0" borderId="0" xfId="0" applyFont="1"/>
    <x:xf numFmtId="0" fontId="3" fillId="0" borderId="0" xfId="0" applyFont="1"/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2" xfId="0" applyNumberFormat="1" applyFont="1" applyFill="1" applyBorder="1"/>
    <x:xf numFmtId="0" fontId="4" fillId="11" borderId="7" xfId="0" applyNumberFormat="1" applyFont="1" applyFill="1" applyBorder="1"/>
    <x:xf numFmtId="0" fontId="4" fillId="11" borderId="3" xfId="0" applyNumberFormat="1" applyFont="1" applyFill="1" applyBorder="1"/>
    <x:xf numFmtId="0" fontId="4" fillId="11" borderId="2" xfId="0" applyNumberFormat="1" applyFont="1" applyFill="1" applyBorder="1" applyAlignment="1">
      <x:alignment wrapText="1"/>
    </x:xf>
    <x:xf numFmtId="0" fontId="4" fillId="11" borderId="7" xfId="0" applyNumberFormat="1" applyFont="1" applyFill="1" applyBorder="1" applyAlignment="1">
      <x:alignment wrapText="1"/>
    </x:xf>
    <x:xf numFmtId="0" fontId="4" fillId="11" borderId="3" xfId="0" applyNumberFormat="1" applyFont="1" applyFill="1" applyBorder="1" applyAlignment="1">
      <x:alignment wrapText="1"/>
    </x:xf>
    <x:xf numFmtId="0" fontId="4" fillId="11" borderId="2" xfId="0" applyNumberFormat="1" applyFont="1" applyFill="1" applyBorder="1" applyAlignment="1">
      <x:alignment horizontal="center" wrapText="1"/>
    </x:xf>
    <x:xf numFmtId="0" fontId="4" fillId="11" borderId="7" xfId="0" applyNumberFormat="1" applyFont="1" applyFill="1" applyBorder="1" applyAlignment="1">
      <x:alignment horizontal="center" wrapText="1"/>
    </x:xf>
    <x:xf numFmtId="0" fontId="4" fillId="11" borderId="3" xfId="0" applyNumberFormat="1" applyFont="1" applyFill="1" applyBorder="1" applyAlignment="1">
      <x:alignment horizontal="center" wrapText="1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4" fillId="11" borderId="7" xfId="0" applyNumberFormat="1" applyFont="1" applyFill="1" applyBorder="1" applyAlignment="1">
      <x:alignment horizontal="center" vertical="center" wrapText="1"/>
    </x:xf>
    <x:xf numFmtId="0" fontId="4" fillId="11" borderId="3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/>
    <x:xf numFmtId="0" fontId="1" fillId="12" borderId="4" xfId="0" applyNumberFormat="1" applyFont="1" applyFill="1" applyBorder="1"/>
    <x:xf numFmtId="0" fontId="1" fillId="12" borderId="6" xfId="0" applyNumberFormat="1" applyFont="1" applyFill="1" applyBorder="1"/>
    <x:xf numFmtId="0" fontId="1" fillId="12" borderId="4" xfId="0" applyNumberFormat="1" applyFont="1" applyFill="1" applyBorder="1" applyAlignment="1">
      <x:alignment vertical="center"/>
    </x:xf>
    <x:xf numFmtId="0" fontId="1" fillId="12" borderId="6" xfId="0" applyNumberFormat="1" applyFont="1" applyFill="1" applyBorder="1" applyAlignment="1">
      <x:alignment vertical="center"/>
    </x:xf>
    <x:xf numFmtId="164" fontId="1" fillId="12" borderId="4" xfId="0" applyNumberFormat="1" applyFont="1" applyFill="1" applyBorder="1" applyAlignment="1">
      <x:alignment vertical="center"/>
    </x:xf>
    <x:xf numFmtId="164" fontId="1" fillId="12" borderId="6" xfId="0" applyNumberFormat="1" applyFont="1" applyFill="1" applyBorder="1" applyAlignment="1">
      <x:alignment vertical="center"/>
    </x:xf>
    <x:xf numFmtId="200" fontId="1" fillId="12" borderId="4" xfId="0" applyNumberFormat="1" applyFont="1" applyFill="1" applyBorder="1" applyAlignment="1">
      <x:alignment vertical="center"/>
    </x:xf>
    <x:xf numFmtId="200" fontId="1" fillId="12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D71920"/>
      </x:font>
      <x:fill>
        <x:patternFill>
          <x:bgColor rgb="FFFDE8E8"/>
        </x:patternFill>
      </x:fill>
    </x:dxf>
    <x:dxf>
      <x:font>
        <x:b/>
        <x:color rgb="FF26863B"/>
      </x:font>
      <x:fill>
        <x:patternFill>
          <x:bgColor rgb="FFE6F4E9"/>
        </x:patternFill>
      </x:fill>
    </x:dxf>
    <x:dxf>
      <x:font>
        <x:b/>
        <x:color rgb="FFD71920"/>
      </x:font>
      <x:fill>
        <x:patternFill>
          <x:bgColor rgb="FFFDE8E8"/>
        </x:patternFill>
      </x:fill>
    </x:dxf>
    <x:dxf>
      <x:font>
        <x:b/>
        <x:color rgb="FF26863B"/>
      </x:font>
      <x:fill>
        <x:patternFill>
          <x:bgColor rgb="FFE6F4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a50cab146c4158" /><Relationship Type="http://schemas.openxmlformats.org/officeDocument/2006/relationships/theme" Target="/xl/theme/theme1.xml" Id="Rb899c1a8b1ae4362" /><Relationship Type="http://schemas.openxmlformats.org/officeDocument/2006/relationships/sharedStrings" Target="/xl/sharedStrings.xml" Id="Rb120eeaf3c324b4d" /><Relationship Type="http://schemas.openxmlformats.org/officeDocument/2006/relationships/worksheet" Target="/xl/worksheets/sheet1.xml" Id="Rd0ce071bd11d498c" /><Relationship Type="http://schemas.openxmlformats.org/officeDocument/2006/relationships/worksheet" Target="/xl/worksheets/sheet2.xml" Id="R0d710e529c5a4999" /><Relationship Type="http://schemas.openxmlformats.org/officeDocument/2006/relationships/worksheet" Target="/xl/worksheets/sheet3.xml" Id="Rc125a78dc4b74d22" /><Relationship Type="http://schemas.openxmlformats.org/officeDocument/2006/relationships/worksheet" Target="/xl/worksheets/sheet4.xml" Id="Rce94098a21e341b0" /><Relationship Type="http://schemas.openxmlformats.org/officeDocument/2006/relationships/worksheet" Target="/xl/worksheets/sheet5.xml" Id="Rdc46971a87724264" /><Relationship Type="http://schemas.openxmlformats.org/officeDocument/2006/relationships/worksheet" Target="/xl/worksheets/sheet6.xml" Id="Rf2cdae8f9a554e8d" /><Relationship Type="http://schemas.openxmlformats.org/officeDocument/2006/relationships/worksheet" Target="/xl/worksheets/sheet7.xml" Id="R00a65a07c1a140d2" /><Relationship Type="http://schemas.openxmlformats.org/officeDocument/2006/relationships/worksheet" Target="/xl/worksheets/sheet8.xml" Id="Rd2d19f138eff4185" /><Relationship Type="http://schemas.openxmlformats.org/officeDocument/2006/relationships/worksheet" Target="/xl/worksheets/sheet9.xml" Id="R9a9552bc795b47f8" /><Relationship Type="http://schemas.openxmlformats.org/officeDocument/2006/relationships/worksheet" Target="/xl/worksheets/sheet10.xml" Id="Rbc73ff51a4b64bf7" /><Relationship Type="http://schemas.openxmlformats.org/officeDocument/2006/relationships/worksheet" Target="/xl/worksheets/sheet11.xml" Id="Rc5a430a75dd64bb9" /><Relationship Type="http://schemas.openxmlformats.org/officeDocument/2006/relationships/worksheet" Target="/xl/worksheets/sheet12.xml" Id="R8588ace393604560" /></Relationships>
</file>

<file path=xl/tables/table1.xml><?xml version="1.0" encoding="utf-8"?>
<x:table xmlns:x="http://schemas.openxmlformats.org/spreadsheetml/2006/main" id="13" name="CapacidadeCliente" displayName="CapacidadeCliente" ref="A6:K30" totalsRowShown="0">
  <x:tableColumns count="11">
    <x:tableColumn id="1" name="ClientKey"/>
    <x:tableColumn id="2" name="Cliente"/>
    <x:tableColumn id="3" name="CapacidadeOficial"/>
    <x:tableColumn id="4" name="CapacidadeSugerida"/>
    <x:tableColumn id="5" name="VigenciaInicio"/>
    <x:tableColumn id="6" name="VigenciaFim"/>
    <x:tableColumn id="7" name="Ativo"/>
    <x:tableColumn id="8" name="Metodo"/>
    <x:tableColumn id="9" name="Observacao"/>
    <x:tableColumn id="10" name="StatusNET"/>
    <x:tableColumn id="11" name="OwnerKe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ornadaCliente" displayName="JornadaCliente" ref="A6:J17" totalsRowShown="0">
  <x:tableColumns count="10">
    <x:tableColumn id="1" name="ClientKey"/>
    <x:tableColumn id="2" name="VigenciaInicio"/>
    <x:tableColumn id="3" name="VigenciaFim"/>
    <x:tableColumn id="4" name="InicioManha"/>
    <x:tableColumn id="5" name="FimManha"/>
    <x:tableColumn id="6" name="InicioTarde"/>
    <x:tableColumn id="7" name="FimTarde"/>
    <x:tableColumn id="8" name="FusoHorario"/>
    <x:tableColumn id="9" name="Ativo"/>
    <x:tableColumn id="10" name="Observac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lendarioOperacional" displayName="CalendarioOperacional" ref="A6:G46" totalsRowShown="0">
  <x:tableColumns count="7">
    <x:tableColumn id="1" name="Data"/>
    <x:tableColumn id="2" name="Nome"/>
    <x:tableColumn id="3" name="Abrangencia"/>
    <x:tableColumn id="4" name="ClientKey"/>
    <x:tableColumn id="5" name="DiaUtil"/>
    <x:tableColumn id="6" name="Ativo"/>
    <x:tableColumn id="7" name="Fonte ou observacao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MetasEtapas" displayName="MetasEtapas" ref="A6:I15" totalsRowShown="0">
  <x:tableColumns count="9">
    <x:tableColumn id="1" name="ClientKey"/>
    <x:tableColumn id="2" name="EtapaOrigem"/>
    <x:tableColumn id="3" name="EtapaDestino"/>
    <x:tableColumn id="4" name="MetaHorasUteis"/>
    <x:tableColumn id="5" name="VigenciaInicio"/>
    <x:tableColumn id="6" name="VigenciaFim"/>
    <x:tableColumn id="7" name="Ativo"/>
    <x:tableColumn id="8" name="Observacao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grasQualidade" displayName="RegrasQualidade" ref="A6:D10" totalsRowShown="0">
  <x:tableColumns count="4">
    <x:tableColumn id="1" name="Parametro"/>
    <x:tableColumn id="2" name="Valor"/>
    <x:tableColumn id="3" name="Unidade"/>
    <x:tableColumn id="4" name="Aplicaca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4" name="RegrasGrossCliente" displayName="RegrasGrossCliente" ref="A6:Q54" totalsRowShown="0">
  <x:tableColumns count="17">
    <x:tableColumn id="1" name="ClientKey"/>
    <x:tableColumn id="2" name="RegraID"/>
    <x:tableColumn id="3" name="EtapaInicial"/>
    <x:tableColumn id="4" name="EtapaFinal"/>
    <x:tableColumn id="5" name="HoraInicioExclusiva"/>
    <x:tableColumn id="6" name="HoraFimInclusiva"/>
    <x:tableColumn id="7" name="TipoPrazo"/>
    <x:tableColumn id="8" name="DiasUteis"/>
    <x:tableColumn id="9" name="HoraLimite"/>
    <x:tableColumn id="10" name="HorasUteis"/>
    <x:tableColumn id="11" name="ToleranciaMinutos"/>
    <x:tableColumn id="12" name="VigenciaInicio"/>
    <x:tableColumn id="13" name="VigenciaFim"/>
    <x:tableColumn id="14" name="Ativo"/>
    <x:tableColumn id="15" name="Observacao"/>
    <x:tableColumn id="16" name="Status"/>
    <x:tableColumn id="17" name="OwnerKe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5" name="FontesOutbound" displayName="FontesOutbound" ref="A6:H22" totalsRowShown="0">
  <x:tableColumns count="8">
    <x:tableColumn id="1" name="ClientKey"/>
    <x:tableColumn id="2" name="ArquivoCSV"/>
    <x:tableColumn id="3" name="DataCorte"/>
    <x:tableColumn id="4" name="Ativo"/>
    <x:tableColumn id="5" name="ClientAliasFonte"/>
    <x:tableColumn id="6" name="OwnerObrigatorio"/>
    <x:tableColumn id="7" name="Observacao"/>
    <x:tableColumn id="8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6" name="OwnerAliases" displayName="OwnerAliases" ref="A6:F24" totalsRowShown="0">
  <x:tableColumns count="6">
    <x:tableColumn id="1" name="ClientKey"/>
    <x:tableColumn id="2" name="OwnerAlias"/>
    <x:tableColumn id="3" name="OwnerKey"/>
    <x:tableColumn id="4" name="OwnerName"/>
    <x:tableColumn id="5" name="Ativo"/>
    <x:tableColumn id="6" name="Observaca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7" name="FontesInbound" displayName="FontesInbound" ref="A6:H32" totalsRowShown="0">
  <x:tableColumns count="8">
    <x:tableColumn id="1" name="ClientKey"/>
    <x:tableColumn id="2" name="ArquivoCSV"/>
    <x:tableColumn id="3" name="DataCorte"/>
    <x:tableColumn id="4" name="Ativo"/>
    <x:tableColumn id="5" name="ClientAliasFonte"/>
    <x:tableColumn id="6" name="OwnerObrigatorio"/>
    <x:tableColumn id="7" name="Observacao"/>
    <x:tableColumn id="8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8" name="RegrasInbound" displayName="RegrasInbound" ref="A6:Q32" totalsRowShown="0">
  <x:tableColumns count="17">
    <x:tableColumn id="1" name="ClientKey"/>
    <x:tableColumn id="2" name="RegraID"/>
    <x:tableColumn id="3" name="EtapaInicial"/>
    <x:tableColumn id="4" name="EtapaFinal"/>
    <x:tableColumn id="5" name="HoraInicioExclusiva"/>
    <x:tableColumn id="6" name="HoraFimInclusiva"/>
    <x:tableColumn id="7" name="TipoPrazo"/>
    <x:tableColumn id="8" name="DiasUteis"/>
    <x:tableColumn id="9" name="HoraLimite"/>
    <x:tableColumn id="10" name="HorasUteis"/>
    <x:tableColumn id="11" name="ToleranciaMinutos"/>
    <x:tableColumn id="12" name="VigenciaInicio"/>
    <x:tableColumn id="13" name="VigenciaFim"/>
    <x:tableColumn id="14" name="Ativo"/>
    <x:tableColumn id="15" name="Observacao"/>
    <x:tableColumn id="16" name="Status"/>
    <x:tableColumn id="17" name="OwnerKe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9" name="ProcessosOutbound" displayName="ProcessosOutbound" ref="A6:L8" headerRowCount="1" totalsRowCount="0" totalsRowShown="0">
  <x:tableColumns count="12">
    <x:tableColumn id="1" name="ClientKey"/>
    <x:tableColumn id="2" name="OwnerKey"/>
    <x:tableColumn id="3" name="ProcessoKey"/>
    <x:tableColumn id="4" name="ProcessoNome"/>
    <x:tableColumn id="5" name="InicioOrigem"/>
    <x:tableColumn id="6" name="InicioDestino"/>
    <x:tableColumn id="7" name="FimOrigem"/>
    <x:tableColumn id="8" name="FimDestino"/>
    <x:tableColumn id="9" name="MetaHorasUteis"/>
    <x:tableColumn id="10" name="VigenciaInicio"/>
    <x:tableColumn id="11" name="VigenciaFim"/>
    <x:tableColumn id="12" name="A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5d81b2dda24c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0372e6679d4e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523a61abdc45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353b0647bf46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593601f3134a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a875cc275d43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863f920843d46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5810c3f9ca4d1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d21336a242648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4f4d0f5f23a46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737942fb1ea4ced" /></Relationships>
</file>

<file path=xl/worksheets/sheet1.xml><?xml version="1.0" encoding="utf-8"?>
<x:worksheet xmlns:x="http://schemas.openxmlformats.org/spreadsheetml/2006/main">
  <x:sheetPr>
    <x:tabColor rgb="FF002664"/>
  </x:sheetPr>
  <x:sheetViews>
    <x:sheetView showGridLines="0" workbookViewId="0"/>
  </x:sheetViews>
  <x:sheetFormatPr defaultRowHeight="14.25"/>
  <x:cols>
    <x:col min="1" max="1" width="25" customWidth="1"/>
    <x:col min="2" max="2" width="92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86" t="s">
        <x:v>0</x:v>
      </x:c>
      <x:c r="B2" s="87"/>
      <x:c r="C2" s="87"/>
      <x:c r="D2" s="87"/>
      <x:c r="E2" s="87"/>
      <x:c r="F2" s="87"/>
      <x:c r="G2" s="87"/>
      <x:c r="H2" s="87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88" t="s">
        <x:v>1</x:v>
      </x:c>
      <x:c r="B3" s="87"/>
      <x:c r="C3" s="87"/>
      <x:c r="D3" s="87"/>
      <x:c r="E3" s="87"/>
      <x:c r="F3" s="87"/>
      <x:c r="G3" s="87"/>
      <x:c r="H3" s="87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2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2.099998474121094" customHeight="1">
      <x:c r="A6" s="3" t="s">
        <x:v>2</x:v>
      </x:c>
      <x:c r="B6" s="4" t="s">
        <x:v>3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">
        <x:v>1</x:v>
      </x:c>
      <x:c r="B7" s="8" t="s">
        <x:v>4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customHeight="1">
      <x:c r="A8" s="6">
        <x:v>2</x:v>
      </x:c>
      <x:c r="B8" s="9" t="s">
        <x:v>5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customHeight="1">
      <x:c r="A9" s="6">
        <x:v>3</x:v>
      </x:c>
      <x:c r="B9" s="9" t="s">
        <x:v>6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customHeight="1">
      <x:c r="A10" s="7">
        <x:v>4</x:v>
      </x:c>
      <x:c r="B10" s="10" t="s">
        <x:v>7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customHeight="1">
      <x:c r="A11" s="1">
        <x:v>5</x:v>
      </x:c>
      <x:c r="B11" s="11" t="s">
        <x:v>8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customHeight="1">
      <x:c r="A12" s="3" t="s">
        <x:v>9</x:v>
      </x:c>
      <x:c r="B12" s="4" t="s">
        <x:v>10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customHeight="1">
      <x:c r="A13" s="5" t="s">
        <x:v>11</x:v>
      </x:c>
      <x:c r="B13" s="8" t="s">
        <x:v>12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customHeight="1">
      <x:c r="A14" s="6" t="s">
        <x:v>13</x:v>
      </x:c>
      <x:c r="B14" s="9" t="s">
        <x:v>14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customHeight="1">
      <x:c r="A15" s="6" t="s">
        <x:v>15</x:v>
      </x:c>
      <x:c r="B15" s="9" t="s">
        <x:v>16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customHeight="1">
      <x:c r="A16" s="6" t="s">
        <x:v>17</x:v>
      </x:c>
      <x:c r="B16" s="9" t="s">
        <x:v>18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customHeight="1">
      <x:c r="A17" s="6" t="s">
        <x:v>19</x:v>
      </x:c>
      <x:c r="B17" s="9" t="s">
        <x:v>20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customHeight="1">
      <x:c r="A18" s="6" t="s">
        <x:v>21</x:v>
      </x:c>
      <x:c r="B18" s="9" t="s">
        <x:v>22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customHeight="1">
      <x:c r="A19" s="6" t="s">
        <x:v>23</x:v>
      </x:c>
      <x:c r="B19" s="9" t="s">
        <x:v>24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customHeight="1">
      <x:c r="A20" s="6" t="s">
        <x:v>25</x:v>
      </x:c>
      <x:c r="B20" s="9" t="s">
        <x:v>26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customHeight="1">
      <x:c r="A21" s="7" t="s">
        <x:v>27</x:v>
      </x:c>
      <x:c r="B21" s="10" t="s">
        <x:v>28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customHeight="1">
      <x:c r="A22" s="1"/>
      <x:c r="B22" s="1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customHeight="1">
      <x:c r="A23" s="3" t="s">
        <x:v>29</x:v>
      </x:c>
      <x:c r="B23" s="4" t="s">
        <x:v>30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customHeight="1">
      <x:c r="A24" s="5" t="s">
        <x:v>31</x:v>
      </x:c>
      <x:c r="B24" s="8" t="s">
        <x:v>32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customHeight="1">
      <x:c r="A25" s="6" t="s">
        <x:v>33</x:v>
      </x:c>
      <x:c r="B25" s="9" t="s">
        <x:v>34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customHeight="1">
      <x:c r="A26" s="7" t="s">
        <x:v>35</x:v>
      </x:c>
      <x:c r="B26" s="10" t="s">
        <x:v>36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 t="s">
        <x:v>37</x:v>
      </x:c>
      <x:c r="B27" s="1" t="s">
        <x:v>38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4B93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4" customWidth="1"/>
    <x:col min="2" max="4" width="20" customWidth="1"/>
    <x:col min="5" max="6" width="16" customWidth="1"/>
    <x:col min="7" max="7" width="10" customWidth="1"/>
    <x:col min="8" max="8" width="29" customWidth="1"/>
    <x:col min="9" max="9" width="34" customWidth="1"/>
    <x:col min="10" max="10" width="22" customWidth="1"/>
    <x:col min="11" max="11" width="16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86" t="s">
        <x:v>39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88" t="s">
        <x:v>40</x:v>
      </x:c>
      <x:c r="B3" s="87"/>
      <x:c r="C3" s="87"/>
      <x:c r="D3" s="87"/>
      <x:c r="E3" s="87"/>
      <x:c r="F3" s="87"/>
      <x:c r="G3" s="87"/>
      <x:c r="H3" s="87"/>
      <x:c r="I3" s="87"/>
      <x:c r="J3" s="87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" t="s">
        <x:v>41</x:v>
      </x:c>
      <x:c r="B6" s="12" t="s">
        <x:v>42</x:v>
      </x:c>
      <x:c r="C6" s="12" t="s">
        <x:v>43</x:v>
      </x:c>
      <x:c r="D6" s="12" t="s">
        <x:v>44</x:v>
      </x:c>
      <x:c r="E6" s="12" t="s">
        <x:v>45</x:v>
      </x:c>
      <x:c r="F6" s="12" t="s">
        <x:v>46</x:v>
      </x:c>
      <x:c r="G6" s="12" t="s">
        <x:v>47</x:v>
      </x:c>
      <x:c r="H6" s="12" t="s">
        <x:v>48</x:v>
      </x:c>
      <x:c r="I6" s="12" t="s">
        <x:v>49</x:v>
      </x:c>
      <x:c r="J6" s="4" t="s">
        <x:v>50</x:v>
      </x:c>
      <x:c r="K6" s="51" t="s">
        <x:v>51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3.100000381469727" customHeight="1">
      <x:c r="A7" s="5" t="s">
        <x:v>52</x:v>
      </x:c>
      <x:c r="B7" s="5" t="s">
        <x:v>52</x:v>
      </x:c>
      <x:c r="C7" s="16"/>
      <x:c r="D7" s="17">
        <x:v>90</x:v>
      </x:c>
      <x:c r="E7" s="22">
        <x:v>45658</x:v>
      </x:c>
      <x:c r="F7" s="22"/>
      <x:c r="G7" s="13" t="s">
        <x:v>53</x:v>
      </x:c>
      <x:c r="H7" s="5" t="s">
        <x:v>54</x:v>
      </x:c>
      <x:c r="I7" s="13"/>
      <x:c r="J7" s="5" t="str">
        <x:f t="shared" ref="J7:J30" si="0">IF(OR(C7="",G7&lt;&gt;"Sim"),"NET não calculado","NET habilitado")</x:f>
        <x:v>NET não calculado</x:v>
      </x:c>
      <x:c r="K7" s="52" t="s">
        <x:v>55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3.100000381469727" customHeight="1">
      <x:c r="A8" s="6" t="s">
        <x:v>56</x:v>
      </x:c>
      <x:c r="B8" s="6" t="s">
        <x:v>56</x:v>
      </x:c>
      <x:c r="C8" s="18"/>
      <x:c r="D8" s="19">
        <x:v>105</x:v>
      </x:c>
      <x:c r="E8" s="23">
        <x:v>45658</x:v>
      </x:c>
      <x:c r="F8" s="23"/>
      <x:c r="G8" s="14" t="s">
        <x:v>53</x:v>
      </x:c>
      <x:c r="H8" s="6" t="s">
        <x:v>57</x:v>
      </x:c>
      <x:c r="I8" s="14"/>
      <x:c r="J8" s="6" t="str">
        <x:f t="shared" si="0"/>
        <x:v>NET não calculado</x:v>
      </x:c>
      <x:c r="K8" s="53" t="s">
        <x:v>55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3.100000381469727" customHeight="1">
      <x:c r="A9" s="6" t="s">
        <x:v>58</x:v>
      </x:c>
      <x:c r="B9" s="6" t="s">
        <x:v>58</x:v>
      </x:c>
      <x:c r="C9" s="18"/>
      <x:c r="D9" s="19">
        <x:v>114</x:v>
      </x:c>
      <x:c r="E9" s="23">
        <x:v>45658</x:v>
      </x:c>
      <x:c r="F9" s="23"/>
      <x:c r="G9" s="14" t="s">
        <x:v>53</x:v>
      </x:c>
      <x:c r="H9" s="6" t="s">
        <x:v>59</x:v>
      </x:c>
      <x:c r="I9" s="14"/>
      <x:c r="J9" s="6" t="str">
        <x:f t="shared" si="0"/>
        <x:v>NET não calculado</x:v>
      </x:c>
      <x:c r="K9" s="53" t="s">
        <x:v>55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3.100000381469727" customHeight="1">
      <x:c r="A10" s="6" t="s">
        <x:v>60</x:v>
      </x:c>
      <x:c r="B10" s="6" t="s">
        <x:v>60</x:v>
      </x:c>
      <x:c r="C10" s="18"/>
      <x:c r="D10" s="19">
        <x:v>2504</x:v>
      </x:c>
      <x:c r="E10" s="23">
        <x:v>45658</x:v>
      </x:c>
      <x:c r="F10" s="23"/>
      <x:c r="G10" s="14" t="s">
        <x:v>53</x:v>
      </x:c>
      <x:c r="H10" s="6" t="s">
        <x:v>61</x:v>
      </x:c>
      <x:c r="I10" s="14"/>
      <x:c r="J10" s="6" t="str">
        <x:f t="shared" si="0"/>
        <x:v>NET não calculado</x:v>
      </x:c>
      <x:c r="K10" s="53" t="s">
        <x:v>55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3.100000381469727" customHeight="1">
      <x:c r="A11" s="6" t="s">
        <x:v>62</x:v>
      </x:c>
      <x:c r="B11" s="6" t="s">
        <x:v>62</x:v>
      </x:c>
      <x:c r="C11" s="18"/>
      <x:c r="D11" s="19">
        <x:v>4</x:v>
      </x:c>
      <x:c r="E11" s="23">
        <x:v>45658</x:v>
      </x:c>
      <x:c r="F11" s="23"/>
      <x:c r="G11" s="14" t="s">
        <x:v>53</x:v>
      </x:c>
      <x:c r="H11" s="6" t="s">
        <x:v>63</x:v>
      </x:c>
      <x:c r="I11" s="14"/>
      <x:c r="J11" s="6" t="str">
        <x:f t="shared" si="0"/>
        <x:v>NET não calculado</x:v>
      </x:c>
      <x:c r="K11" s="53" t="s">
        <x:v>55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3.100000381469727" customHeight="1">
      <x:c r="A12" s="6" t="s">
        <x:v>64</x:v>
      </x:c>
      <x:c r="B12" s="6" t="s">
        <x:v>64</x:v>
      </x:c>
      <x:c r="C12" s="18"/>
      <x:c r="D12" s="19">
        <x:v>3</x:v>
      </x:c>
      <x:c r="E12" s="23">
        <x:v>45658</x:v>
      </x:c>
      <x:c r="F12" s="23"/>
      <x:c r="G12" s="14" t="s">
        <x:v>53</x:v>
      </x:c>
      <x:c r="H12" s="6" t="s">
        <x:v>65</x:v>
      </x:c>
      <x:c r="I12" s="14"/>
      <x:c r="J12" s="6" t="str">
        <x:f t="shared" si="0"/>
        <x:v>NET não calculado</x:v>
      </x:c>
      <x:c r="K12" s="53" t="s">
        <x:v>55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3.100000381469727" customHeight="1">
      <x:c r="A13" s="6" t="s">
        <x:v>66</x:v>
      </x:c>
      <x:c r="B13" s="6" t="s">
        <x:v>66</x:v>
      </x:c>
      <x:c r="C13" s="18"/>
      <x:c r="D13" s="19">
        <x:v>3</x:v>
      </x:c>
      <x:c r="E13" s="23">
        <x:v>45658</x:v>
      </x:c>
      <x:c r="F13" s="23"/>
      <x:c r="G13" s="14" t="s">
        <x:v>53</x:v>
      </x:c>
      <x:c r="H13" s="6" t="s">
        <x:v>67</x:v>
      </x:c>
      <x:c r="I13" s="14"/>
      <x:c r="J13" s="6" t="str">
        <x:f t="shared" si="0"/>
        <x:v>NET não calculado</x:v>
      </x:c>
      <x:c r="K13" s="53" t="s">
        <x:v>55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3.100000381469727" customHeight="1">
      <x:c r="A14" s="6" t="s">
        <x:v>68</x:v>
      </x:c>
      <x:c r="B14" s="6" t="s">
        <x:v>68</x:v>
      </x:c>
      <x:c r="C14" s="18">
        <x:v>53</x:v>
      </x:c>
      <x:c r="D14" s="19">
        <x:v>40</x:v>
      </x:c>
      <x:c r="E14" s="23">
        <x:v>45658</x:v>
      </x:c>
      <x:c r="F14" s="23"/>
      <x:c r="G14" s="14" t="s">
        <x:v>69</x:v>
      </x:c>
      <x:c r="H14" s="6" t="s">
        <x:v>70</x:v>
      </x:c>
      <x:c r="I14" s="14"/>
      <x:c r="J14" s="6" t="str">
        <x:f t="shared" si="0"/>
        <x:v>NET habilitado</x:v>
      </x:c>
      <x:c r="K14" s="53" t="s">
        <x:v>55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3.100000381469727" customHeight="1">
      <x:c r="A15" s="6" t="s">
        <x:v>71</x:v>
      </x:c>
      <x:c r="B15" s="6" t="s">
        <x:v>71</x:v>
      </x:c>
      <x:c r="C15" s="18"/>
      <x:c r="D15" s="19">
        <x:v>33</x:v>
      </x:c>
      <x:c r="E15" s="23">
        <x:v>45658</x:v>
      </x:c>
      <x:c r="F15" s="23"/>
      <x:c r="G15" s="14" t="s">
        <x:v>53</x:v>
      </x:c>
      <x:c r="H15" s="6" t="s">
        <x:v>72</x:v>
      </x:c>
      <x:c r="I15" s="14"/>
      <x:c r="J15" s="6" t="str">
        <x:f t="shared" si="0"/>
        <x:v>NET não calculado</x:v>
      </x:c>
      <x:c r="K15" s="53" t="s">
        <x:v>55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3.100000381469727" customHeight="1">
      <x:c r="A16" s="6" t="s">
        <x:v>73</x:v>
      </x:c>
      <x:c r="B16" s="6" t="s">
        <x:v>73</x:v>
      </x:c>
      <x:c r="C16" s="18"/>
      <x:c r="D16" s="19">
        <x:v>47</x:v>
      </x:c>
      <x:c r="E16" s="23">
        <x:v>45658</x:v>
      </x:c>
      <x:c r="F16" s="23"/>
      <x:c r="G16" s="14" t="s">
        <x:v>53</x:v>
      </x:c>
      <x:c r="H16" s="6" t="s">
        <x:v>65</x:v>
      </x:c>
      <x:c r="I16" s="14"/>
      <x:c r="J16" s="6" t="str">
        <x:f t="shared" si="0"/>
        <x:v>NET não calculado</x:v>
      </x:c>
      <x:c r="K16" s="53" t="s">
        <x:v>55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3.100000381469727" customHeight="1">
      <x:c r="A17" s="6" t="s">
        <x:v>74</x:v>
      </x:c>
      <x:c r="B17" s="6" t="s">
        <x:v>74</x:v>
      </x:c>
      <x:c r="C17" s="18">
        <x:v>200</x:v>
      </x:c>
      <x:c r="D17" s="19">
        <x:v>31</x:v>
      </x:c>
      <x:c r="E17" s="23">
        <x:v>45658</x:v>
      </x:c>
      <x:c r="F17" s="23"/>
      <x:c r="G17" s="14" t="s">
        <x:v>69</x:v>
      </x:c>
      <x:c r="H17" s="6" t="s">
        <x:v>75</x:v>
      </x:c>
      <x:c r="I17" s="14"/>
      <x:c r="J17" s="6" t="str">
        <x:f t="shared" si="0"/>
        <x:v>NET habilitado</x:v>
      </x:c>
      <x:c r="K17" s="53" t="s">
        <x:v>55</x:v>
      </x:c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3.100000381469727" customHeight="1">
      <x:c r="A18" s="6" t="s">
        <x:v>76</x:v>
      </x:c>
      <x:c r="B18" s="6" t="s">
        <x:v>76</x:v>
      </x:c>
      <x:c r="C18" s="18"/>
      <x:c r="D18" s="19"/>
      <x:c r="E18" s="23">
        <x:v>45658</x:v>
      </x:c>
      <x:c r="F18" s="23"/>
      <x:c r="G18" s="14" t="s">
        <x:v>53</x:v>
      </x:c>
      <x:c r="H18" s="6" t="s">
        <x:v>77</x:v>
      </x:c>
      <x:c r="I18" s="14"/>
      <x:c r="J18" s="6" t="str">
        <x:f t="shared" si="0"/>
        <x:v>NET não calculado</x:v>
      </x:c>
      <x:c r="K18" s="53" t="s">
        <x:v>55</x:v>
      </x:c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3.100000381469727" customHeight="1">
      <x:c r="A19" s="6" t="s">
        <x:v>78</x:v>
      </x:c>
      <x:c r="B19" s="6" t="s">
        <x:v>78</x:v>
      </x:c>
      <x:c r="C19" s="18"/>
      <x:c r="D19" s="19">
        <x:v>468</x:v>
      </x:c>
      <x:c r="E19" s="23">
        <x:v>45658</x:v>
      </x:c>
      <x:c r="F19" s="23"/>
      <x:c r="G19" s="14" t="s">
        <x:v>53</x:v>
      </x:c>
      <x:c r="H19" s="6" t="s">
        <x:v>79</x:v>
      </x:c>
      <x:c r="I19" s="14"/>
      <x:c r="J19" s="6" t="str">
        <x:f t="shared" si="0"/>
        <x:v>NET não calculado</x:v>
      </x:c>
      <x:c r="K19" s="53" t="s">
        <x:v>55</x:v>
      </x:c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3.100000381469727" customHeight="1">
      <x:c r="A20" s="6" t="s">
        <x:v>80</x:v>
      </x:c>
      <x:c r="B20" s="6" t="s">
        <x:v>80</x:v>
      </x:c>
      <x:c r="C20" s="18"/>
      <x:c r="D20" s="19">
        <x:v>40</x:v>
      </x:c>
      <x:c r="E20" s="23">
        <x:v>45658</x:v>
      </x:c>
      <x:c r="F20" s="23"/>
      <x:c r="G20" s="14" t="s">
        <x:v>53</x:v>
      </x:c>
      <x:c r="H20" s="6" t="s">
        <x:v>81</x:v>
      </x:c>
      <x:c r="I20" s="14"/>
      <x:c r="J20" s="6" t="str">
        <x:f t="shared" si="0"/>
        <x:v>NET não calculado</x:v>
      </x:c>
      <x:c r="K20" s="53" t="s">
        <x:v>55</x:v>
      </x:c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3.100000381469727" customHeight="1">
      <x:c r="A21" s="6" t="s">
        <x:v>82</x:v>
      </x:c>
      <x:c r="B21" s="6" t="s">
        <x:v>82</x:v>
      </x:c>
      <x:c r="C21" s="18">
        <x:v>200</x:v>
      </x:c>
      <x:c r="D21" s="19">
        <x:v>251</x:v>
      </x:c>
      <x:c r="E21" s="23">
        <x:v>45658</x:v>
      </x:c>
      <x:c r="F21" s="23"/>
      <x:c r="G21" s="14" t="s">
        <x:v>69</x:v>
      </x:c>
      <x:c r="H21" s="6" t="s">
        <x:v>83</x:v>
      </x:c>
      <x:c r="I21" s="14"/>
      <x:c r="J21" s="6" t="str">
        <x:f t="shared" si="0"/>
        <x:v>NET habilitado</x:v>
      </x:c>
      <x:c r="K21" s="53" t="s">
        <x:v>55</x:v>
      </x:c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3.100000381469727" customHeight="1">
      <x:c r="A22" s="6" t="s">
        <x:v>84</x:v>
      </x:c>
      <x:c r="B22" s="6" t="s">
        <x:v>84</x:v>
      </x:c>
      <x:c r="C22" s="18">
        <x:v>100</x:v>
      </x:c>
      <x:c r="D22" s="19">
        <x:v>100</x:v>
      </x:c>
      <x:c r="E22" s="23">
        <x:v>45658</x:v>
      </x:c>
      <x:c r="F22" s="23"/>
      <x:c r="G22" s="14" t="s">
        <x:v>69</x:v>
      </x:c>
      <x:c r="H22" s="6" t="s">
        <x:v>85</x:v>
      </x:c>
      <x:c r="I22" s="14"/>
      <x:c r="J22" s="6" t="str">
        <x:f t="shared" si="0"/>
        <x:v>NET habilitado</x:v>
      </x:c>
      <x:c r="K22" s="53" t="s">
        <x:v>55</x:v>
      </x:c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3.100000381469727" customHeight="1">
      <x:c r="A23" s="6" t="s">
        <x:v>86</x:v>
      </x:c>
      <x:c r="B23" s="6" t="s">
        <x:v>86</x:v>
      </x:c>
      <x:c r="C23" s="18"/>
      <x:c r="D23" s="19">
        <x:v>15</x:v>
      </x:c>
      <x:c r="E23" s="23">
        <x:v>45658</x:v>
      </x:c>
      <x:c r="F23" s="23"/>
      <x:c r="G23" s="14" t="s">
        <x:v>53</x:v>
      </x:c>
      <x:c r="H23" s="6" t="s">
        <x:v>87</x:v>
      </x:c>
      <x:c r="I23" s="14"/>
      <x:c r="J23" s="6" t="str">
        <x:f t="shared" si="0"/>
        <x:v>NET não calculado</x:v>
      </x:c>
      <x:c r="K23" s="53" t="s">
        <x:v>55</x:v>
      </x:c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3.100000381469727" customHeight="1">
      <x:c r="A24" s="6" t="s">
        <x:v>88</x:v>
      </x:c>
      <x:c r="B24" s="6" t="s">
        <x:v>88</x:v>
      </x:c>
      <x:c r="C24" s="18"/>
      <x:c r="D24" s="19">
        <x:v>8</x:v>
      </x:c>
      <x:c r="E24" s="23">
        <x:v>45658</x:v>
      </x:c>
      <x:c r="F24" s="23"/>
      <x:c r="G24" s="14" t="s">
        <x:v>53</x:v>
      </x:c>
      <x:c r="H24" s="6" t="s">
        <x:v>89</x:v>
      </x:c>
      <x:c r="I24" s="14"/>
      <x:c r="J24" s="6" t="str">
        <x:f t="shared" si="0"/>
        <x:v>NET não calculado</x:v>
      </x:c>
      <x:c r="K24" s="53" t="s">
        <x:v>55</x:v>
      </x:c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3.100000381469727" customHeight="1">
      <x:c r="A25" s="6" t="s">
        <x:v>90</x:v>
      </x:c>
      <x:c r="B25" s="6" t="s">
        <x:v>90</x:v>
      </x:c>
      <x:c r="C25" s="18">
        <x:v>200</x:v>
      </x:c>
      <x:c r="D25" s="19">
        <x:v>491</x:v>
      </x:c>
      <x:c r="E25" s="23">
        <x:v>45658</x:v>
      </x:c>
      <x:c r="F25" s="23"/>
      <x:c r="G25" s="14" t="s">
        <x:v>69</x:v>
      </x:c>
      <x:c r="H25" s="6" t="s">
        <x:v>91</x:v>
      </x:c>
      <x:c r="I25" s="14"/>
      <x:c r="J25" s="6" t="str">
        <x:f t="shared" si="0"/>
        <x:v>NET habilitado</x:v>
      </x:c>
      <x:c r="K25" s="53" t="s">
        <x:v>55</x:v>
      </x:c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3.100000381469727" customHeight="1">
      <x:c r="A26" s="6" t="s">
        <x:v>92</x:v>
      </x:c>
      <x:c r="B26" s="6" t="s">
        <x:v>92</x:v>
      </x:c>
      <x:c r="C26" s="18"/>
      <x:c r="D26" s="19">
        <x:v>12</x:v>
      </x:c>
      <x:c r="E26" s="23">
        <x:v>45658</x:v>
      </x:c>
      <x:c r="F26" s="23"/>
      <x:c r="G26" s="14" t="s">
        <x:v>53</x:v>
      </x:c>
      <x:c r="H26" s="6" t="s">
        <x:v>93</x:v>
      </x:c>
      <x:c r="I26" s="14"/>
      <x:c r="J26" s="6" t="str">
        <x:f t="shared" si="0"/>
        <x:v>NET não calculado</x:v>
      </x:c>
      <x:c r="K26" s="53" t="s">
        <x:v>55</x:v>
      </x:c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3.100000381469727" customHeight="1">
      <x:c r="A27" s="6" t="s">
        <x:v>94</x:v>
      </x:c>
      <x:c r="B27" s="6" t="s">
        <x:v>94</x:v>
      </x:c>
      <x:c r="C27" s="18">
        <x:v>200</x:v>
      </x:c>
      <x:c r="D27" s="19">
        <x:v>148</x:v>
      </x:c>
      <x:c r="E27" s="23">
        <x:v>45658</x:v>
      </x:c>
      <x:c r="F27" s="23"/>
      <x:c r="G27" s="14" t="s">
        <x:v>69</x:v>
      </x:c>
      <x:c r="H27" s="6" t="s">
        <x:v>95</x:v>
      </x:c>
      <x:c r="I27" s="14"/>
      <x:c r="J27" s="6" t="str">
        <x:f t="shared" si="0"/>
        <x:v>NET habilitado</x:v>
      </x:c>
      <x:c r="K27" s="53" t="s">
        <x:v>55</x:v>
      </x:c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3.100000381469727" customHeight="1">
      <x:c r="A28" s="6" t="s">
        <x:v>96</x:v>
      </x:c>
      <x:c r="B28" s="6" t="s">
        <x:v>96</x:v>
      </x:c>
      <x:c r="C28" s="18"/>
      <x:c r="D28" s="19">
        <x:v>14</x:v>
      </x:c>
      <x:c r="E28" s="23">
        <x:v>45658</x:v>
      </x:c>
      <x:c r="F28" s="23"/>
      <x:c r="G28" s="14" t="s">
        <x:v>53</x:v>
      </x:c>
      <x:c r="H28" s="6" t="s">
        <x:v>81</x:v>
      </x:c>
      <x:c r="I28" s="14"/>
      <x:c r="J28" s="6" t="str">
        <x:f t="shared" si="0"/>
        <x:v>NET não calculado</x:v>
      </x:c>
      <x:c r="K28" s="53" t="s">
        <x:v>55</x:v>
      </x:c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3.100000381469727" customHeight="1">
      <x:c r="A29" s="7" t="s">
        <x:v>97</x:v>
      </x:c>
      <x:c r="B29" s="7" t="s">
        <x:v>97</x:v>
      </x:c>
      <x:c r="C29" s="20"/>
      <x:c r="D29" s="21">
        <x:v>13</x:v>
      </x:c>
      <x:c r="E29" s="24">
        <x:v>45658</x:v>
      </x:c>
      <x:c r="F29" s="24"/>
      <x:c r="G29" s="15" t="s">
        <x:v>53</x:v>
      </x:c>
      <x:c r="H29" s="7" t="s">
        <x:v>98</x:v>
      </x:c>
      <x:c r="I29" s="15"/>
      <x:c r="J29" s="7" t="str">
        <x:f t="shared" si="0"/>
        <x:v>NET não calculado</x:v>
      </x:c>
      <x:c r="K29" s="54" t="s">
        <x:v>55</x:v>
      </x:c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3.100000381469727" customHeight="1">
      <x:c r="A30" s="58" t="s">
        <x:v>99</x:v>
      </x:c>
      <x:c r="B30" s="58" t="s">
        <x:v>99</x:v>
      </x:c>
      <x:c r="C30" s="62">
        <x:v>18</x:v>
      </x:c>
      <x:c r="D30" s="62">
        <x:v>9</x:v>
      </x:c>
      <x:c r="E30" s="63">
        <x:v>45658</x:v>
      </x:c>
      <x:c r="F30" s="63"/>
      <x:c r="G30" s="62" t="s">
        <x:v>69</x:v>
      </x:c>
      <x:c r="H30" s="62" t="s">
        <x:v>100</x:v>
      </x:c>
      <x:c r="I30" s="62" t="s">
        <x:v>101</x:v>
      </x:c>
      <x:c r="J30" s="7" t="str">
        <x:f t="shared" si="0"/>
        <x:v>NET habilitado</x:v>
      </x:c>
      <x:c r="K30" s="54" t="s">
        <x:v>55</x:v>
      </x:c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J2"/>
    <x:mergeCell ref="A3:J3"/>
  </x:mergeCells>
  <x:conditionalFormatting sqref="J7:J30">
    <x:cfRule type="containsText" dxfId="3" priority="1" operator="containsText" text="habilitado"/>
    <x:cfRule type="containsText" dxfId="2" priority="2" operator="containsText" text="não calculado"/>
  </x:conditionalFormatting>
  <x:dataValidations count="1">
    <x:dataValidation type="list" sqref="G7:G3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5d81b2dda24c03"/>
  </x:tableParts>
</x:worksheet>
</file>

<file path=xl/worksheets/sheet3.xml><?xml version="1.0" encoding="utf-8"?>
<x:worksheet xmlns:x="http://schemas.openxmlformats.org/spreadsheetml/2006/main">
  <x:sheetPr>
    <x:tabColor rgb="FF3E7CB1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5" customWidth="1"/>
    <x:col min="2" max="3" width="16" customWidth="1"/>
    <x:col min="4" max="7" width="14" customWidth="1"/>
    <x:col min="8" max="8" width="22" customWidth="1"/>
    <x:col min="9" max="9" width="10" customWidth="1"/>
    <x:col min="10" max="10" width="35" customWidth="1"/>
    <x:col min="11" max="11" width="16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86" t="s">
        <x:v>102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88" t="s">
        <x:v>103</x:v>
      </x:c>
      <x:c r="B3" s="87"/>
      <x:c r="C3" s="87"/>
      <x:c r="D3" s="87"/>
      <x:c r="E3" s="87"/>
      <x:c r="F3" s="87"/>
      <x:c r="G3" s="87"/>
      <x:c r="H3" s="87"/>
      <x:c r="I3" s="87"/>
      <x:c r="J3" s="87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" t="s">
        <x:v>41</x:v>
      </x:c>
      <x:c r="B6" s="12" t="s">
        <x:v>45</x:v>
      </x:c>
      <x:c r="C6" s="12" t="s">
        <x:v>46</x:v>
      </x:c>
      <x:c r="D6" s="12" t="s">
        <x:v>104</x:v>
      </x:c>
      <x:c r="E6" s="12" t="s">
        <x:v>105</x:v>
      </x:c>
      <x:c r="F6" s="12" t="s">
        <x:v>106</x:v>
      </x:c>
      <x:c r="G6" s="12" t="s">
        <x:v>107</x:v>
      </x:c>
      <x:c r="H6" s="12" t="s">
        <x:v>108</x:v>
      </x:c>
      <x:c r="I6" s="12" t="s">
        <x:v>47</x:v>
      </x:c>
      <x:c r="J6" s="4" t="s">
        <x:v>49</x:v>
      </x:c>
      <x:c r="K6" s="51" t="s">
        <x:v>51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3.100000381469727" customHeight="1">
      <x:c r="A7" s="5" t="s">
        <x:v>55</x:v>
      </x:c>
      <x:c r="B7" s="25">
        <x:v>45658</x:v>
      </x:c>
      <x:c r="C7" s="25"/>
      <x:c r="D7" s="32">
        <x:v>0.33333333333333331</x:v>
      </x:c>
      <x:c r="E7" s="32">
        <x:v>0.5</x:v>
      </x:c>
      <x:c r="F7" s="32">
        <x:v>0.54166666666666663</x:v>
      </x:c>
      <x:c r="G7" s="32">
        <x:v>0.70833333333333337</x:v>
      </x:c>
      <x:c r="H7" s="5" t="s">
        <x:v>109</x:v>
      </x:c>
      <x:c r="I7" s="5" t="s">
        <x:v>69</x:v>
      </x:c>
      <x:c r="J7" s="5" t="s">
        <x:v>110</x:v>
      </x:c>
      <x:c r="K7" s="52" t="s">
        <x:v>55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3.100000381469727" customHeight="1">
      <x:c r="A8" s="14"/>
      <x:c r="B8" s="23"/>
      <x:c r="C8" s="23"/>
      <x:c r="D8" s="14"/>
      <x:c r="E8" s="14"/>
      <x:c r="F8" s="14"/>
      <x:c r="G8" s="14"/>
      <x:c r="H8" s="6" t="s">
        <x:v>109</x:v>
      </x:c>
      <x:c r="I8" s="14" t="s">
        <x:v>53</x:v>
      </x:c>
      <x:c r="J8" s="14"/>
      <x:c r="K8" s="53" t="s">
        <x:v>55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3.100000381469727" customHeight="1">
      <x:c r="A9" s="14"/>
      <x:c r="B9" s="23"/>
      <x:c r="C9" s="23"/>
      <x:c r="D9" s="14"/>
      <x:c r="E9" s="14"/>
      <x:c r="F9" s="14"/>
      <x:c r="G9" s="14"/>
      <x:c r="H9" s="6" t="s">
        <x:v>109</x:v>
      </x:c>
      <x:c r="I9" s="14" t="s">
        <x:v>53</x:v>
      </x:c>
      <x:c r="J9" s="14"/>
      <x:c r="K9" s="53" t="s">
        <x:v>55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3.100000381469727" customHeight="1">
      <x:c r="A10" s="14"/>
      <x:c r="B10" s="23"/>
      <x:c r="C10" s="23"/>
      <x:c r="D10" s="14"/>
      <x:c r="E10" s="14"/>
      <x:c r="F10" s="14"/>
      <x:c r="G10" s="14"/>
      <x:c r="H10" s="6" t="s">
        <x:v>109</x:v>
      </x:c>
      <x:c r="I10" s="14" t="s">
        <x:v>53</x:v>
      </x:c>
      <x:c r="J10" s="14"/>
      <x:c r="K10" s="53" t="s">
        <x:v>55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3.100000381469727" customHeight="1">
      <x:c r="A11" s="14"/>
      <x:c r="B11" s="23"/>
      <x:c r="C11" s="23"/>
      <x:c r="D11" s="14"/>
      <x:c r="E11" s="14"/>
      <x:c r="F11" s="14"/>
      <x:c r="G11" s="14"/>
      <x:c r="H11" s="6" t="s">
        <x:v>109</x:v>
      </x:c>
      <x:c r="I11" s="14" t="s">
        <x:v>53</x:v>
      </x:c>
      <x:c r="J11" s="14"/>
      <x:c r="K11" s="53" t="s">
        <x:v>55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3.100000381469727" customHeight="1">
      <x:c r="A12" s="14"/>
      <x:c r="B12" s="23"/>
      <x:c r="C12" s="23"/>
      <x:c r="D12" s="14"/>
      <x:c r="E12" s="14"/>
      <x:c r="F12" s="14"/>
      <x:c r="G12" s="14"/>
      <x:c r="H12" s="6" t="s">
        <x:v>109</x:v>
      </x:c>
      <x:c r="I12" s="14" t="s">
        <x:v>53</x:v>
      </x:c>
      <x:c r="J12" s="14"/>
      <x:c r="K12" s="53" t="s">
        <x:v>55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3.100000381469727" customHeight="1">
      <x:c r="A13" s="14"/>
      <x:c r="B13" s="23"/>
      <x:c r="C13" s="23"/>
      <x:c r="D13" s="14"/>
      <x:c r="E13" s="14"/>
      <x:c r="F13" s="14"/>
      <x:c r="G13" s="14"/>
      <x:c r="H13" s="6" t="s">
        <x:v>109</x:v>
      </x:c>
      <x:c r="I13" s="14" t="s">
        <x:v>53</x:v>
      </x:c>
      <x:c r="J13" s="14"/>
      <x:c r="K13" s="53" t="s">
        <x:v>55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3.100000381469727" customHeight="1">
      <x:c r="A14" s="14"/>
      <x:c r="B14" s="23"/>
      <x:c r="C14" s="23"/>
      <x:c r="D14" s="14"/>
      <x:c r="E14" s="14"/>
      <x:c r="F14" s="14"/>
      <x:c r="G14" s="14"/>
      <x:c r="H14" s="6" t="s">
        <x:v>109</x:v>
      </x:c>
      <x:c r="I14" s="14" t="s">
        <x:v>53</x:v>
      </x:c>
      <x:c r="J14" s="14"/>
      <x:c r="K14" s="53" t="s">
        <x:v>55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3.100000381469727" customHeight="1">
      <x:c r="A15" s="14"/>
      <x:c r="B15" s="23"/>
      <x:c r="C15" s="23"/>
      <x:c r="D15" s="14"/>
      <x:c r="E15" s="14"/>
      <x:c r="F15" s="14"/>
      <x:c r="G15" s="14"/>
      <x:c r="H15" s="6" t="s">
        <x:v>109</x:v>
      </x:c>
      <x:c r="I15" s="14" t="s">
        <x:v>53</x:v>
      </x:c>
      <x:c r="J15" s="14"/>
      <x:c r="K15" s="53" t="s">
        <x:v>55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3.100000381469727" customHeight="1">
      <x:c r="A16" s="14"/>
      <x:c r="B16" s="23"/>
      <x:c r="C16" s="23"/>
      <x:c r="D16" s="14"/>
      <x:c r="E16" s="14"/>
      <x:c r="F16" s="14"/>
      <x:c r="G16" s="14"/>
      <x:c r="H16" s="6" t="s">
        <x:v>109</x:v>
      </x:c>
      <x:c r="I16" s="14" t="s">
        <x:v>53</x:v>
      </x:c>
      <x:c r="J16" s="14"/>
      <x:c r="K16" s="53" t="s">
        <x:v>55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3.100000381469727" customHeight="1">
      <x:c r="A17" s="15"/>
      <x:c r="B17" s="24"/>
      <x:c r="C17" s="24"/>
      <x:c r="D17" s="15"/>
      <x:c r="E17" s="15"/>
      <x:c r="F17" s="15"/>
      <x:c r="G17" s="15"/>
      <x:c r="H17" s="7" t="s">
        <x:v>109</x:v>
      </x:c>
      <x:c r="I17" s="15" t="s">
        <x:v>53</x:v>
      </x:c>
      <x:c r="J17" s="15"/>
      <x:c r="K17" s="54" t="s">
        <x:v>55</x:v>
      </x:c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J2"/>
    <x:mergeCell ref="A3:J3"/>
  </x:mergeCells>
  <x:dataValidations count="1">
    <x:dataValidation type="list" sqref="I7:I17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0372e6679d4ea2"/>
  </x:tableParts>
</x:worksheet>
</file>

<file path=xl/worksheets/sheet4.xml><?xml version="1.0" encoding="utf-8"?>
<x:worksheet xmlns:x="http://schemas.openxmlformats.org/spreadsheetml/2006/main">
  <x:sheetPr>
    <x:tabColor rgb="FF6B8E23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5" customWidth="1"/>
    <x:col min="2" max="2" width="42" customWidth="1"/>
    <x:col min="3" max="3" width="16" customWidth="1"/>
    <x:col min="4" max="4" width="15" customWidth="1"/>
    <x:col min="5" max="6" width="11" customWidth="1"/>
    <x:col min="7" max="7" width="34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86" t="s">
        <x:v>111</x:v>
      </x:c>
      <x:c r="B2" s="87"/>
      <x:c r="C2" s="87"/>
      <x:c r="D2" s="87"/>
      <x:c r="E2" s="87"/>
      <x:c r="F2" s="87"/>
      <x:c r="G2" s="87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88" t="s">
        <x:v>112</x:v>
      </x:c>
      <x:c r="B3" s="87"/>
      <x:c r="C3" s="87"/>
      <x:c r="D3" s="87"/>
      <x:c r="E3" s="87"/>
      <x:c r="F3" s="87"/>
      <x:c r="G3" s="87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2.099998474121094" customHeight="1">
      <x:c r="A6" s="3" t="s">
        <x:v>113</x:v>
      </x:c>
      <x:c r="B6" s="12" t="s">
        <x:v>114</x:v>
      </x:c>
      <x:c r="C6" s="12" t="s">
        <x:v>115</x:v>
      </x:c>
      <x:c r="D6" s="12" t="s">
        <x:v>41</x:v>
      </x:c>
      <x:c r="E6" s="12" t="s">
        <x:v>116</x:v>
      </x:c>
      <x:c r="F6" s="12" t="s">
        <x:v>47</x:v>
      </x:c>
      <x:c r="G6" s="4" t="s">
        <x:v>117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1.950000762939453" customHeight="1">
      <x:c r="A7" s="25">
        <x:v>45658</x:v>
      </x:c>
      <x:c r="B7" s="5" t="s">
        <x:v>118</x:v>
      </x:c>
      <x:c r="C7" s="5" t="s">
        <x:v>119</x:v>
      </x:c>
      <x:c r="D7" s="5" t="s">
        <x:v>55</x:v>
      </x:c>
      <x:c r="E7" s="5" t="s">
        <x:v>53</x:v>
      </x:c>
      <x:c r="F7" s="5" t="s">
        <x:v>69</x:v>
      </x:c>
      <x:c r="G7" s="5" t="s">
        <x:v>120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1.950000762939453" customHeight="1">
      <x:c r="A8" s="26">
        <x:v>45677</x:v>
      </x:c>
      <x:c r="B8" s="6" t="s">
        <x:v>121</x:v>
      </x:c>
      <x:c r="C8" s="6" t="s">
        <x:v>122</x:v>
      </x:c>
      <x:c r="D8" s="6" t="s">
        <x:v>55</x:v>
      </x:c>
      <x:c r="E8" s="6" t="s">
        <x:v>53</x:v>
      </x:c>
      <x:c r="F8" s="6" t="s">
        <x:v>69</x:v>
      </x:c>
      <x:c r="G8" s="6" t="s">
        <x:v>123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1.950000762939453" customHeight="1">
      <x:c r="A9" s="26">
        <x:v>45706</x:v>
      </x:c>
      <x:c r="B9" s="6" t="s">
        <x:v>124</x:v>
      </x:c>
      <x:c r="C9" s="6" t="s">
        <x:v>122</x:v>
      </x:c>
      <x:c r="D9" s="6" t="s">
        <x:v>55</x:v>
      </x:c>
      <x:c r="E9" s="6" t="s">
        <x:v>53</x:v>
      </x:c>
      <x:c r="F9" s="6" t="s">
        <x:v>69</x:v>
      </x:c>
      <x:c r="G9" s="6" t="s">
        <x:v>123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1.950000762939453" customHeight="1">
      <x:c r="A10" s="26">
        <x:v>45765</x:v>
      </x:c>
      <x:c r="B10" s="6" t="s">
        <x:v>125</x:v>
      </x:c>
      <x:c r="C10" s="6" t="s">
        <x:v>122</x:v>
      </x:c>
      <x:c r="D10" s="6" t="s">
        <x:v>55</x:v>
      </x:c>
      <x:c r="E10" s="6" t="s">
        <x:v>53</x:v>
      </x:c>
      <x:c r="F10" s="6" t="s">
        <x:v>69</x:v>
      </x:c>
      <x:c r="G10" s="6" t="s">
        <x:v>123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1.950000762939453" customHeight="1">
      <x:c r="A11" s="26">
        <x:v>45768</x:v>
      </x:c>
      <x:c r="B11" s="6" t="s">
        <x:v>126</x:v>
      </x:c>
      <x:c r="C11" s="6" t="s">
        <x:v>119</x:v>
      </x:c>
      <x:c r="D11" s="6" t="s">
        <x:v>55</x:v>
      </x:c>
      <x:c r="E11" s="6" t="s">
        <x:v>53</x:v>
      </x:c>
      <x:c r="F11" s="6" t="s">
        <x:v>69</x:v>
      </x:c>
      <x:c r="G11" s="6" t="s">
        <x:v>120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1.950000762939453" customHeight="1">
      <x:c r="A12" s="26">
        <x:v>45778</x:v>
      </x:c>
      <x:c r="B12" s="6" t="s">
        <x:v>127</x:v>
      </x:c>
      <x:c r="C12" s="6" t="s">
        <x:v>119</x:v>
      </x:c>
      <x:c r="D12" s="6" t="s">
        <x:v>55</x:v>
      </x:c>
      <x:c r="E12" s="6" t="s">
        <x:v>53</x:v>
      </x:c>
      <x:c r="F12" s="6" t="s">
        <x:v>69</x:v>
      </x:c>
      <x:c r="G12" s="6" t="s">
        <x:v>120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1.950000762939453" customHeight="1">
      <x:c r="A13" s="26">
        <x:v>45827</x:v>
      </x:c>
      <x:c r="B13" s="6" t="s">
        <x:v>128</x:v>
      </x:c>
      <x:c r="C13" s="6" t="s">
        <x:v>122</x:v>
      </x:c>
      <x:c r="D13" s="6" t="s">
        <x:v>55</x:v>
      </x:c>
      <x:c r="E13" s="6" t="s">
        <x:v>53</x:v>
      </x:c>
      <x:c r="F13" s="6" t="s">
        <x:v>69</x:v>
      </x:c>
      <x:c r="G13" s="6" t="s">
        <x:v>123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1.950000762939453" customHeight="1">
      <x:c r="A14" s="26">
        <x:v>45847</x:v>
      </x:c>
      <x:c r="B14" s="6" t="s">
        <x:v>129</x:v>
      </x:c>
      <x:c r="C14" s="6" t="s">
        <x:v>130</x:v>
      </x:c>
      <x:c r="D14" s="6" t="s">
        <x:v>55</x:v>
      </x:c>
      <x:c r="E14" s="6" t="s">
        <x:v>53</x:v>
      </x:c>
      <x:c r="F14" s="6" t="s">
        <x:v>69</x:v>
      </x:c>
      <x:c r="G14" s="6" t="s">
        <x:v>131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1.950000762939453" customHeight="1">
      <x:c r="A15" s="26">
        <x:v>45907</x:v>
      </x:c>
      <x:c r="B15" s="6" t="s">
        <x:v>132</x:v>
      </x:c>
      <x:c r="C15" s="6" t="s">
        <x:v>119</x:v>
      </x:c>
      <x:c r="D15" s="6" t="s">
        <x:v>55</x:v>
      </x:c>
      <x:c r="E15" s="6" t="s">
        <x:v>53</x:v>
      </x:c>
      <x:c r="F15" s="6" t="s">
        <x:v>69</x:v>
      </x:c>
      <x:c r="G15" s="6" t="s">
        <x:v>120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1.950000762939453" customHeight="1">
      <x:c r="A16" s="26">
        <x:v>45942</x:v>
      </x:c>
      <x:c r="B16" s="6" t="s">
        <x:v>133</x:v>
      </x:c>
      <x:c r="C16" s="6" t="s">
        <x:v>119</x:v>
      </x:c>
      <x:c r="D16" s="6" t="s">
        <x:v>55</x:v>
      </x:c>
      <x:c r="E16" s="6" t="s">
        <x:v>53</x:v>
      </x:c>
      <x:c r="F16" s="6" t="s">
        <x:v>69</x:v>
      </x:c>
      <x:c r="G16" s="6" t="s">
        <x:v>120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1.950000762939453" customHeight="1">
      <x:c r="A17" s="26">
        <x:v>45963</x:v>
      </x:c>
      <x:c r="B17" s="6" t="s">
        <x:v>134</x:v>
      </x:c>
      <x:c r="C17" s="6" t="s">
        <x:v>119</x:v>
      </x:c>
      <x:c r="D17" s="6" t="s">
        <x:v>55</x:v>
      </x:c>
      <x:c r="E17" s="6" t="s">
        <x:v>53</x:v>
      </x:c>
      <x:c r="F17" s="6" t="s">
        <x:v>69</x:v>
      </x:c>
      <x:c r="G17" s="6" t="s">
        <x:v>120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1.950000762939453" customHeight="1">
      <x:c r="A18" s="26">
        <x:v>45976</x:v>
      </x:c>
      <x:c r="B18" s="6" t="s">
        <x:v>135</x:v>
      </x:c>
      <x:c r="C18" s="6" t="s">
        <x:v>119</x:v>
      </x:c>
      <x:c r="D18" s="6" t="s">
        <x:v>55</x:v>
      </x:c>
      <x:c r="E18" s="6" t="s">
        <x:v>53</x:v>
      </x:c>
      <x:c r="F18" s="6" t="s">
        <x:v>69</x:v>
      </x:c>
      <x:c r="G18" s="6" t="s">
        <x:v>120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1.950000762939453" customHeight="1">
      <x:c r="A19" s="26">
        <x:v>45981</x:v>
      </x:c>
      <x:c r="B19" s="6" t="s">
        <x:v>136</x:v>
      </x:c>
      <x:c r="C19" s="6" t="s">
        <x:v>119</x:v>
      </x:c>
      <x:c r="D19" s="6" t="s">
        <x:v>55</x:v>
      </x:c>
      <x:c r="E19" s="6" t="s">
        <x:v>53</x:v>
      </x:c>
      <x:c r="F19" s="6" t="s">
        <x:v>69</x:v>
      </x:c>
      <x:c r="G19" s="6" t="s">
        <x:v>120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1.950000762939453" customHeight="1">
      <x:c r="A20" s="26">
        <x:v>46016</x:v>
      </x:c>
      <x:c r="B20" s="6" t="s">
        <x:v>137</x:v>
      </x:c>
      <x:c r="C20" s="6" t="s">
        <x:v>119</x:v>
      </x:c>
      <x:c r="D20" s="6" t="s">
        <x:v>55</x:v>
      </x:c>
      <x:c r="E20" s="6" t="s">
        <x:v>53</x:v>
      </x:c>
      <x:c r="F20" s="6" t="s">
        <x:v>69</x:v>
      </x:c>
      <x:c r="G20" s="6" t="s">
        <x:v>120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1.950000762939453" customHeight="1">
      <x:c r="A21" s="26">
        <x:v>46023</x:v>
      </x:c>
      <x:c r="B21" s="6" t="s">
        <x:v>118</x:v>
      </x:c>
      <x:c r="C21" s="6" t="s">
        <x:v>119</x:v>
      </x:c>
      <x:c r="D21" s="6" t="s">
        <x:v>55</x:v>
      </x:c>
      <x:c r="E21" s="6" t="s">
        <x:v>53</x:v>
      </x:c>
      <x:c r="F21" s="6" t="s">
        <x:v>69</x:v>
      </x:c>
      <x:c r="G21" s="6" t="s">
        <x:v>120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1.950000762939453" customHeight="1">
      <x:c r="A22" s="26">
        <x:v>46042</x:v>
      </x:c>
      <x:c r="B22" s="6" t="s">
        <x:v>121</x:v>
      </x:c>
      <x:c r="C22" s="6" t="s">
        <x:v>122</x:v>
      </x:c>
      <x:c r="D22" s="6" t="s">
        <x:v>55</x:v>
      </x:c>
      <x:c r="E22" s="6" t="s">
        <x:v>53</x:v>
      </x:c>
      <x:c r="F22" s="6" t="s">
        <x:v>69</x:v>
      </x:c>
      <x:c r="G22" s="6" t="s">
        <x:v>123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1.950000762939453" customHeight="1">
      <x:c r="A23" s="26">
        <x:v>46071</x:v>
      </x:c>
      <x:c r="B23" s="6" t="s">
        <x:v>124</x:v>
      </x:c>
      <x:c r="C23" s="6" t="s">
        <x:v>122</x:v>
      </x:c>
      <x:c r="D23" s="6" t="s">
        <x:v>55</x:v>
      </x:c>
      <x:c r="E23" s="6" t="s">
        <x:v>53</x:v>
      </x:c>
      <x:c r="F23" s="6" t="s">
        <x:v>69</x:v>
      </x:c>
      <x:c r="G23" s="6" t="s">
        <x:v>123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1.950000762939453" customHeight="1">
      <x:c r="A24" s="26">
        <x:v>46115</x:v>
      </x:c>
      <x:c r="B24" s="6" t="s">
        <x:v>125</x:v>
      </x:c>
      <x:c r="C24" s="6" t="s">
        <x:v>122</x:v>
      </x:c>
      <x:c r="D24" s="6" t="s">
        <x:v>55</x:v>
      </x:c>
      <x:c r="E24" s="6" t="s">
        <x:v>53</x:v>
      </x:c>
      <x:c r="F24" s="6" t="s">
        <x:v>69</x:v>
      </x:c>
      <x:c r="G24" s="6" t="s">
        <x:v>123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1.950000762939453" customHeight="1">
      <x:c r="A25" s="26">
        <x:v>46133</x:v>
      </x:c>
      <x:c r="B25" s="6" t="s">
        <x:v>126</x:v>
      </x:c>
      <x:c r="C25" s="6" t="s">
        <x:v>119</x:v>
      </x:c>
      <x:c r="D25" s="6" t="s">
        <x:v>55</x:v>
      </x:c>
      <x:c r="E25" s="6" t="s">
        <x:v>53</x:v>
      </x:c>
      <x:c r="F25" s="6" t="s">
        <x:v>69</x:v>
      </x:c>
      <x:c r="G25" s="6" t="s">
        <x:v>120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1.950000762939453" customHeight="1">
      <x:c r="A26" s="26">
        <x:v>46143</x:v>
      </x:c>
      <x:c r="B26" s="6" t="s">
        <x:v>127</x:v>
      </x:c>
      <x:c r="C26" s="6" t="s">
        <x:v>119</x:v>
      </x:c>
      <x:c r="D26" s="6" t="s">
        <x:v>55</x:v>
      </x:c>
      <x:c r="E26" s="6" t="s">
        <x:v>53</x:v>
      </x:c>
      <x:c r="F26" s="6" t="s">
        <x:v>69</x:v>
      </x:c>
      <x:c r="G26" s="6" t="s">
        <x:v>120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1.950000762939453" customHeight="1">
      <x:c r="A27" s="26">
        <x:v>46177</x:v>
      </x:c>
      <x:c r="B27" s="6" t="s">
        <x:v>128</x:v>
      </x:c>
      <x:c r="C27" s="6" t="s">
        <x:v>122</x:v>
      </x:c>
      <x:c r="D27" s="6" t="s">
        <x:v>55</x:v>
      </x:c>
      <x:c r="E27" s="6" t="s">
        <x:v>53</x:v>
      </x:c>
      <x:c r="F27" s="6" t="s">
        <x:v>69</x:v>
      </x:c>
      <x:c r="G27" s="6" t="s">
        <x:v>123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1.950000762939453" customHeight="1">
      <x:c r="A28" s="26">
        <x:v>46212</x:v>
      </x:c>
      <x:c r="B28" s="6" t="s">
        <x:v>129</x:v>
      </x:c>
      <x:c r="C28" s="6" t="s">
        <x:v>130</x:v>
      </x:c>
      <x:c r="D28" s="6" t="s">
        <x:v>55</x:v>
      </x:c>
      <x:c r="E28" s="6" t="s">
        <x:v>53</x:v>
      </x:c>
      <x:c r="F28" s="6" t="s">
        <x:v>69</x:v>
      </x:c>
      <x:c r="G28" s="6" t="s">
        <x:v>131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1.950000762939453" customHeight="1">
      <x:c r="A29" s="26">
        <x:v>46272</x:v>
      </x:c>
      <x:c r="B29" s="6" t="s">
        <x:v>132</x:v>
      </x:c>
      <x:c r="C29" s="6" t="s">
        <x:v>119</x:v>
      </x:c>
      <x:c r="D29" s="6" t="s">
        <x:v>55</x:v>
      </x:c>
      <x:c r="E29" s="6" t="s">
        <x:v>53</x:v>
      </x:c>
      <x:c r="F29" s="6" t="s">
        <x:v>69</x:v>
      </x:c>
      <x:c r="G29" s="6" t="s">
        <x:v>120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1.950000762939453" customHeight="1">
      <x:c r="A30" s="26">
        <x:v>46307</x:v>
      </x:c>
      <x:c r="B30" s="6" t="s">
        <x:v>133</x:v>
      </x:c>
      <x:c r="C30" s="6" t="s">
        <x:v>119</x:v>
      </x:c>
      <x:c r="D30" s="6" t="s">
        <x:v>55</x:v>
      </x:c>
      <x:c r="E30" s="6" t="s">
        <x:v>53</x:v>
      </x:c>
      <x:c r="F30" s="6" t="s">
        <x:v>69</x:v>
      </x:c>
      <x:c r="G30" s="6" t="s">
        <x:v>120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1.950000762939453" customHeight="1">
      <x:c r="A31" s="26">
        <x:v>46328</x:v>
      </x:c>
      <x:c r="B31" s="6" t="s">
        <x:v>134</x:v>
      </x:c>
      <x:c r="C31" s="6" t="s">
        <x:v>119</x:v>
      </x:c>
      <x:c r="D31" s="6" t="s">
        <x:v>55</x:v>
      </x:c>
      <x:c r="E31" s="6" t="s">
        <x:v>53</x:v>
      </x:c>
      <x:c r="F31" s="6" t="s">
        <x:v>69</x:v>
      </x:c>
      <x:c r="G31" s="6" t="s">
        <x:v>120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21.950000762939453" customHeight="1">
      <x:c r="A32" s="26">
        <x:v>46341</x:v>
      </x:c>
      <x:c r="B32" s="6" t="s">
        <x:v>135</x:v>
      </x:c>
      <x:c r="C32" s="6" t="s">
        <x:v>119</x:v>
      </x:c>
      <x:c r="D32" s="6" t="s">
        <x:v>55</x:v>
      </x:c>
      <x:c r="E32" s="6" t="s">
        <x:v>53</x:v>
      </x:c>
      <x:c r="F32" s="6" t="s">
        <x:v>69</x:v>
      </x:c>
      <x:c r="G32" s="6" t="s">
        <x:v>120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21.950000762939453" customHeight="1">
      <x:c r="A33" s="26">
        <x:v>46346</x:v>
      </x:c>
      <x:c r="B33" s="6" t="s">
        <x:v>136</x:v>
      </x:c>
      <x:c r="C33" s="6" t="s">
        <x:v>119</x:v>
      </x:c>
      <x:c r="D33" s="6" t="s">
        <x:v>55</x:v>
      </x:c>
      <x:c r="E33" s="6" t="s">
        <x:v>53</x:v>
      </x:c>
      <x:c r="F33" s="6" t="s">
        <x:v>69</x:v>
      </x:c>
      <x:c r="G33" s="6" t="s">
        <x:v>120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21.950000762939453" customHeight="1">
      <x:c r="A34" s="26">
        <x:v>46381</x:v>
      </x:c>
      <x:c r="B34" s="6" t="s">
        <x:v>137</x:v>
      </x:c>
      <x:c r="C34" s="6" t="s">
        <x:v>119</x:v>
      </x:c>
      <x:c r="D34" s="6" t="s">
        <x:v>55</x:v>
      </x:c>
      <x:c r="E34" s="6" t="s">
        <x:v>53</x:v>
      </x:c>
      <x:c r="F34" s="6" t="s">
        <x:v>69</x:v>
      </x:c>
      <x:c r="G34" s="6" t="s">
        <x:v>120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21.950000762939453" customHeight="1">
      <x:c r="A35" s="23"/>
      <x:c r="B35" s="14" t="s">
        <x:v>138</x:v>
      </x:c>
      <x:c r="C35" s="14" t="s">
        <x:v>139</x:v>
      </x:c>
      <x:c r="D35" s="14" t="s">
        <x:v>55</x:v>
      </x:c>
      <x:c r="E35" s="14" t="s">
        <x:v>53</x:v>
      </x:c>
      <x:c r="F35" s="14" t="s">
        <x:v>53</x:v>
      </x:c>
      <x:c r="G35" s="14" t="s">
        <x:v>140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21.950000762939453" customHeight="1">
      <x:c r="A36" s="23"/>
      <x:c r="B36" s="14" t="s">
        <x:v>138</x:v>
      </x:c>
      <x:c r="C36" s="14" t="s">
        <x:v>139</x:v>
      </x:c>
      <x:c r="D36" s="14" t="s">
        <x:v>55</x:v>
      </x:c>
      <x:c r="E36" s="14" t="s">
        <x:v>53</x:v>
      </x:c>
      <x:c r="F36" s="14" t="s">
        <x:v>53</x:v>
      </x:c>
      <x:c r="G36" s="14" t="s">
        <x:v>140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21.950000762939453" customHeight="1">
      <x:c r="A37" s="23"/>
      <x:c r="B37" s="14" t="s">
        <x:v>138</x:v>
      </x:c>
      <x:c r="C37" s="14" t="s">
        <x:v>139</x:v>
      </x:c>
      <x:c r="D37" s="14" t="s">
        <x:v>55</x:v>
      </x:c>
      <x:c r="E37" s="14" t="s">
        <x:v>53</x:v>
      </x:c>
      <x:c r="F37" s="14" t="s">
        <x:v>53</x:v>
      </x:c>
      <x:c r="G37" s="14" t="s">
        <x:v>140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21.950000762939453" customHeight="1">
      <x:c r="A38" s="23"/>
      <x:c r="B38" s="14" t="s">
        <x:v>138</x:v>
      </x:c>
      <x:c r="C38" s="14" t="s">
        <x:v>139</x:v>
      </x:c>
      <x:c r="D38" s="14" t="s">
        <x:v>55</x:v>
      </x:c>
      <x:c r="E38" s="14" t="s">
        <x:v>53</x:v>
      </x:c>
      <x:c r="F38" s="14" t="s">
        <x:v>53</x:v>
      </x:c>
      <x:c r="G38" s="14" t="s">
        <x:v>140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21.950000762939453" customHeight="1">
      <x:c r="A39" s="23"/>
      <x:c r="B39" s="14" t="s">
        <x:v>138</x:v>
      </x:c>
      <x:c r="C39" s="14" t="s">
        <x:v>139</x:v>
      </x:c>
      <x:c r="D39" s="14" t="s">
        <x:v>55</x:v>
      </x:c>
      <x:c r="E39" s="14" t="s">
        <x:v>53</x:v>
      </x:c>
      <x:c r="F39" s="14" t="s">
        <x:v>53</x:v>
      </x:c>
      <x:c r="G39" s="14" t="s">
        <x:v>140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21.950000762939453" customHeight="1">
      <x:c r="A40" s="23"/>
      <x:c r="B40" s="14" t="s">
        <x:v>138</x:v>
      </x:c>
      <x:c r="C40" s="14" t="s">
        <x:v>139</x:v>
      </x:c>
      <x:c r="D40" s="14" t="s">
        <x:v>55</x:v>
      </x:c>
      <x:c r="E40" s="14" t="s">
        <x:v>53</x:v>
      </x:c>
      <x:c r="F40" s="14" t="s">
        <x:v>53</x:v>
      </x:c>
      <x:c r="G40" s="14" t="s">
        <x:v>140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21.950000762939453" customHeight="1">
      <x:c r="A41" s="23"/>
      <x:c r="B41" s="14" t="s">
        <x:v>138</x:v>
      </x:c>
      <x:c r="C41" s="14" t="s">
        <x:v>139</x:v>
      </x:c>
      <x:c r="D41" s="14" t="s">
        <x:v>55</x:v>
      </x:c>
      <x:c r="E41" s="14" t="s">
        <x:v>53</x:v>
      </x:c>
      <x:c r="F41" s="14" t="s">
        <x:v>53</x:v>
      </x:c>
      <x:c r="G41" s="14" t="s">
        <x:v>140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21.950000762939453" customHeight="1">
      <x:c r="A42" s="23"/>
      <x:c r="B42" s="14" t="s">
        <x:v>138</x:v>
      </x:c>
      <x:c r="C42" s="14" t="s">
        <x:v>139</x:v>
      </x:c>
      <x:c r="D42" s="14" t="s">
        <x:v>55</x:v>
      </x:c>
      <x:c r="E42" s="14" t="s">
        <x:v>53</x:v>
      </x:c>
      <x:c r="F42" s="14" t="s">
        <x:v>53</x:v>
      </x:c>
      <x:c r="G42" s="14" t="s">
        <x:v>140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21.950000762939453" customHeight="1">
      <x:c r="A43" s="23"/>
      <x:c r="B43" s="14" t="s">
        <x:v>138</x:v>
      </x:c>
      <x:c r="C43" s="14" t="s">
        <x:v>139</x:v>
      </x:c>
      <x:c r="D43" s="14" t="s">
        <x:v>55</x:v>
      </x:c>
      <x:c r="E43" s="14" t="s">
        <x:v>53</x:v>
      </x:c>
      <x:c r="F43" s="14" t="s">
        <x:v>53</x:v>
      </x:c>
      <x:c r="G43" s="14" t="s">
        <x:v>140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21.950000762939453" customHeight="1">
      <x:c r="A44" s="23"/>
      <x:c r="B44" s="14" t="s">
        <x:v>138</x:v>
      </x:c>
      <x:c r="C44" s="14" t="s">
        <x:v>139</x:v>
      </x:c>
      <x:c r="D44" s="14" t="s">
        <x:v>55</x:v>
      </x:c>
      <x:c r="E44" s="14" t="s">
        <x:v>53</x:v>
      </x:c>
      <x:c r="F44" s="14" t="s">
        <x:v>53</x:v>
      </x:c>
      <x:c r="G44" s="14" t="s">
        <x:v>140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21.950000762939453" customHeight="1">
      <x:c r="A45" s="23"/>
      <x:c r="B45" s="14" t="s">
        <x:v>138</x:v>
      </x:c>
      <x:c r="C45" s="14" t="s">
        <x:v>139</x:v>
      </x:c>
      <x:c r="D45" s="14" t="s">
        <x:v>55</x:v>
      </x:c>
      <x:c r="E45" s="14" t="s">
        <x:v>53</x:v>
      </x:c>
      <x:c r="F45" s="14" t="s">
        <x:v>53</x:v>
      </x:c>
      <x:c r="G45" s="14" t="s">
        <x:v>140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21.950000762939453" customHeight="1">
      <x:c r="A46" s="24"/>
      <x:c r="B46" s="15" t="s">
        <x:v>138</x:v>
      </x:c>
      <x:c r="C46" s="15" t="s">
        <x:v>139</x:v>
      </x:c>
      <x:c r="D46" s="15" t="s">
        <x:v>55</x:v>
      </x:c>
      <x:c r="E46" s="15" t="s">
        <x:v>53</x:v>
      </x:c>
      <x:c r="F46" s="15" t="s">
        <x:v>53</x:v>
      </x:c>
      <x:c r="G46" s="15" t="s">
        <x:v>140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G2"/>
    <x:mergeCell ref="A3:G3"/>
  </x:mergeCells>
  <x:dataValidations count="1">
    <x:dataValidation type="list" sqref="E7:F46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523a61abdc45ef"/>
  </x:tableParts>
</x:worksheet>
</file>

<file path=xl/worksheets/sheet5.xml><?xml version="1.0" encoding="utf-8"?>
<x:worksheet xmlns:x="http://schemas.openxmlformats.org/spreadsheetml/2006/main">
  <x:sheetPr>
    <x:tabColor rgb="FF8A6D3B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5" customWidth="1"/>
    <x:col min="2" max="3" width="19" customWidth="1"/>
    <x:col min="4" max="4" width="18" customWidth="1"/>
    <x:col min="5" max="6" width="16" customWidth="1"/>
    <x:col min="7" max="7" width="10" customWidth="1"/>
    <x:col min="8" max="8" width="35" customWidth="1"/>
    <x:col min="9" max="9" width="19" customWidth="1"/>
    <x:col min="10" max="10" width="16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86" t="s">
        <x:v>141</x:v>
      </x:c>
      <x:c r="B2" s="87"/>
      <x:c r="C2" s="87"/>
      <x:c r="D2" s="87"/>
      <x:c r="E2" s="87"/>
      <x:c r="F2" s="87"/>
      <x:c r="G2" s="87"/>
      <x:c r="H2" s="87"/>
      <x:c r="I2" s="87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88" t="s">
        <x:v>142</x:v>
      </x:c>
      <x:c r="B3" s="87"/>
      <x:c r="C3" s="87"/>
      <x:c r="D3" s="87"/>
      <x:c r="E3" s="87"/>
      <x:c r="F3" s="87"/>
      <x:c r="G3" s="87"/>
      <x:c r="H3" s="87"/>
      <x:c r="I3" s="87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" t="s">
        <x:v>41</x:v>
      </x:c>
      <x:c r="B6" s="12" t="s">
        <x:v>143</x:v>
      </x:c>
      <x:c r="C6" s="12" t="s">
        <x:v>144</x:v>
      </x:c>
      <x:c r="D6" s="12" t="s">
        <x:v>145</x:v>
      </x:c>
      <x:c r="E6" s="12" t="s">
        <x:v>45</x:v>
      </x:c>
      <x:c r="F6" s="12" t="s">
        <x:v>46</x:v>
      </x:c>
      <x:c r="G6" s="12" t="s">
        <x:v>47</x:v>
      </x:c>
      <x:c r="H6" s="12" t="s">
        <x:v>49</x:v>
      </x:c>
      <x:c r="I6" s="4" t="s">
        <x:v>146</x:v>
      </x:c>
      <x:c r="J6" s="51" t="s">
        <x:v>51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3.100000381469727" customHeight="1">
      <x:c r="A7" s="5" t="s">
        <x:v>55</x:v>
      </x:c>
      <x:c r="B7" s="5" t="s">
        <x:v>147</x:v>
      </x:c>
      <x:c r="C7" s="5" t="s">
        <x:v>148</x:v>
      </x:c>
      <x:c r="D7" s="27"/>
      <x:c r="E7" s="22">
        <x:v>45658</x:v>
      </x:c>
      <x:c r="F7" s="22"/>
      <x:c r="G7" s="13" t="s">
        <x:v>53</x:v>
      </x:c>
      <x:c r="H7" s="13"/>
      <x:c r="I7" s="5" t="str">
        <x:f t="shared" ref="I7:I15" si="0">IF(OR(D7="",G7&lt;&gt;"Sim"),"Sem meta oficial","Meta ativa")</x:f>
        <x:v>Sem meta oficial</x:v>
      </x:c>
      <x:c r="J7" s="52" t="s">
        <x:v>55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3.100000381469727" customHeight="1">
      <x:c r="A8" s="6" t="s">
        <x:v>55</x:v>
      </x:c>
      <x:c r="B8" s="6" t="s">
        <x:v>148</x:v>
      </x:c>
      <x:c r="C8" s="6" t="s">
        <x:v>149</x:v>
      </x:c>
      <x:c r="D8" s="28"/>
      <x:c r="E8" s="23">
        <x:v>45658</x:v>
      </x:c>
      <x:c r="F8" s="23"/>
      <x:c r="G8" s="14" t="s">
        <x:v>53</x:v>
      </x:c>
      <x:c r="H8" s="14"/>
      <x:c r="I8" s="6" t="str">
        <x:f t="shared" si="0"/>
        <x:v>Sem meta oficial</x:v>
      </x:c>
      <x:c r="J8" s="53" t="s">
        <x:v>55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3.100000381469727" customHeight="1">
      <x:c r="A9" s="6" t="s">
        <x:v>55</x:v>
      </x:c>
      <x:c r="B9" s="6" t="s">
        <x:v>149</x:v>
      </x:c>
      <x:c r="C9" s="6" t="s">
        <x:v>150</x:v>
      </x:c>
      <x:c r="D9" s="28"/>
      <x:c r="E9" s="23">
        <x:v>45658</x:v>
      </x:c>
      <x:c r="F9" s="23"/>
      <x:c r="G9" s="14" t="s">
        <x:v>69</x:v>
      </x:c>
      <x:c r="H9" s="14"/>
      <x:c r="I9" s="6" t="str">
        <x:f t="shared" si="0"/>
        <x:v>Sem meta oficial</x:v>
      </x:c>
      <x:c r="J9" s="53" t="s">
        <x:v>55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3.100000381469727" customHeight="1">
      <x:c r="A10" s="6" t="s">
        <x:v>55</x:v>
      </x:c>
      <x:c r="B10" s="6" t="s">
        <x:v>150</x:v>
      </x:c>
      <x:c r="C10" s="6" t="s">
        <x:v>151</x:v>
      </x:c>
      <x:c r="D10" s="28"/>
      <x:c r="E10" s="23">
        <x:v>45658</x:v>
      </x:c>
      <x:c r="F10" s="23"/>
      <x:c r="G10" s="14" t="s">
        <x:v>69</x:v>
      </x:c>
      <x:c r="H10" s="14"/>
      <x:c r="I10" s="6" t="str">
        <x:f t="shared" si="0"/>
        <x:v>Sem meta oficial</x:v>
      </x:c>
      <x:c r="J10" s="53" t="s">
        <x:v>55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3.100000381469727" customHeight="1">
      <x:c r="A11" s="6" t="s">
        <x:v>55</x:v>
      </x:c>
      <x:c r="B11" s="6" t="s">
        <x:v>151</x:v>
      </x:c>
      <x:c r="C11" s="6" t="s">
        <x:v>152</x:v>
      </x:c>
      <x:c r="D11" s="28"/>
      <x:c r="E11" s="23">
        <x:v>45658</x:v>
      </x:c>
      <x:c r="F11" s="23"/>
      <x:c r="G11" s="14" t="s">
        <x:v>69</x:v>
      </x:c>
      <x:c r="H11" s="14"/>
      <x:c r="I11" s="6" t="str">
        <x:f t="shared" si="0"/>
        <x:v>Sem meta oficial</x:v>
      </x:c>
      <x:c r="J11" s="53" t="s">
        <x:v>55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3.100000381469727" customHeight="1">
      <x:c r="A12" s="6" t="s">
        <x:v>55</x:v>
      </x:c>
      <x:c r="B12" s="6" t="s">
        <x:v>152</x:v>
      </x:c>
      <x:c r="C12" s="6" t="s">
        <x:v>153</x:v>
      </x:c>
      <x:c r="D12" s="28"/>
      <x:c r="E12" s="23">
        <x:v>45658</x:v>
      </x:c>
      <x:c r="F12" s="23"/>
      <x:c r="G12" s="14" t="s">
        <x:v>69</x:v>
      </x:c>
      <x:c r="H12" s="14"/>
      <x:c r="I12" s="6" t="str">
        <x:f t="shared" si="0"/>
        <x:v>Sem meta oficial</x:v>
      </x:c>
      <x:c r="J12" s="53" t="s">
        <x:v>55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3.100000381469727" customHeight="1">
      <x:c r="A13" s="6" t="s">
        <x:v>55</x:v>
      </x:c>
      <x:c r="B13" s="6" t="s">
        <x:v>153</x:v>
      </x:c>
      <x:c r="C13" s="6" t="s">
        <x:v>154</x:v>
      </x:c>
      <x:c r="D13" s="28"/>
      <x:c r="E13" s="23">
        <x:v>45658</x:v>
      </x:c>
      <x:c r="F13" s="23"/>
      <x:c r="G13" s="14" t="s">
        <x:v>53</x:v>
      </x:c>
      <x:c r="H13" s="14"/>
      <x:c r="I13" s="6" t="str">
        <x:f t="shared" si="0"/>
        <x:v>Sem meta oficial</x:v>
      </x:c>
      <x:c r="J13" s="53" t="s">
        <x:v>55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3.100000381469727" customHeight="1">
      <x:c r="A14" s="6" t="s">
        <x:v>55</x:v>
      </x:c>
      <x:c r="B14" s="6" t="s">
        <x:v>154</x:v>
      </x:c>
      <x:c r="C14" s="6" t="s">
        <x:v>155</x:v>
      </x:c>
      <x:c r="D14" s="28"/>
      <x:c r="E14" s="23">
        <x:v>45658</x:v>
      </x:c>
      <x:c r="F14" s="23"/>
      <x:c r="G14" s="14" t="s">
        <x:v>53</x:v>
      </x:c>
      <x:c r="H14" s="14"/>
      <x:c r="I14" s="6" t="str">
        <x:f t="shared" si="0"/>
        <x:v>Sem meta oficial</x:v>
      </x:c>
      <x:c r="J14" s="53" t="s">
        <x:v>55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3.100000381469727" customHeight="1">
      <x:c r="A15" s="7" t="s">
        <x:v>55</x:v>
      </x:c>
      <x:c r="B15" s="7" t="s">
        <x:v>147</x:v>
      </x:c>
      <x:c r="C15" s="7" t="s">
        <x:v>155</x:v>
      </x:c>
      <x:c r="D15" s="29"/>
      <x:c r="E15" s="24">
        <x:v>45658</x:v>
      </x:c>
      <x:c r="F15" s="24"/>
      <x:c r="G15" s="15" t="s">
        <x:v>53</x:v>
      </x:c>
      <x:c r="H15" s="15"/>
      <x:c r="I15" s="7" t="str">
        <x:f t="shared" si="0"/>
        <x:v>Sem meta oficial</x:v>
      </x:c>
      <x:c r="J15" s="54" t="s">
        <x:v>55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I2"/>
    <x:mergeCell ref="A3:I3"/>
  </x:mergeCells>
  <x:dataValidations count="1">
    <x:dataValidation type="list" sqref="G7:G15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353b0647bf46a6"/>
  </x:tableParts>
</x:worksheet>
</file>

<file path=xl/worksheets/sheet6.xml><?xml version="1.0" encoding="utf-8"?>
<x:worksheet xmlns:x="http://schemas.openxmlformats.org/spreadsheetml/2006/main">
  <x:sheetPr>
    <x:tabColor rgb="FF98A2B3"/>
  </x:sheetPr>
  <x:sheetViews>
    <x:sheetView showGridLines="0" workbookViewId="0"/>
  </x:sheetViews>
  <x:sheetFormatPr defaultRowHeight="14.25"/>
  <x:cols>
    <x:col min="1" max="1" width="25" customWidth="1"/>
    <x:col min="2" max="2" width="14" customWidth="1"/>
    <x:col min="3" max="3" width="13" customWidth="1"/>
    <x:col min="4" max="4" width="64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86" t="s">
        <x:v>156</x:v>
      </x:c>
      <x:c r="B2" s="87"/>
      <x:c r="C2" s="87"/>
      <x:c r="D2" s="87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88" t="s">
        <x:v>157</x:v>
      </x:c>
      <x:c r="B3" s="87"/>
      <x:c r="C3" s="87"/>
      <x:c r="D3" s="87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2.099998474121094" customHeight="1">
      <x:c r="A6" s="3" t="s">
        <x:v>158</x:v>
      </x:c>
      <x:c r="B6" s="12" t="s">
        <x:v>159</x:v>
      </x:c>
      <x:c r="C6" s="12" t="s">
        <x:v>160</x:v>
      </x:c>
      <x:c r="D6" s="4" t="s">
        <x:v>161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1.950000762939453" customHeight="1">
      <x:c r="A7" s="5" t="s">
        <x:v>162</x:v>
      </x:c>
      <x:c r="B7" s="30">
        <x:v>0.9</x:v>
      </x:c>
      <x:c r="C7" s="5" t="s">
        <x:v>163</x:v>
      </x:c>
      <x:c r="D7" s="5" t="s">
        <x:v>164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1.950000762939453" customHeight="1">
      <x:c r="A8" s="6" t="s">
        <x:v>165</x:v>
      </x:c>
      <x:c r="B8" s="31">
        <x:v>0.7</x:v>
      </x:c>
      <x:c r="C8" s="6" t="s">
        <x:v>163</x:v>
      </x:c>
      <x:c r="D8" s="6" t="s">
        <x:v>166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1.950000762939453" customHeight="1">
      <x:c r="A9" s="6" t="s">
        <x:v>167</x:v>
      </x:c>
      <x:c r="B9" s="31">
        <x:v>0.2</x:v>
      </x:c>
      <x:c r="C9" s="6" t="s">
        <x:v>163</x:v>
      </x:c>
      <x:c r="D9" s="6" t="s">
        <x:v>168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1.950000762939453" customHeight="1">
      <x:c r="A10" s="7" t="s">
        <x:v>169</x:v>
      </x:c>
      <x:c r="B10" s="29">
        <x:v>8</x:v>
      </x:c>
      <x:c r="C10" s="7" t="s">
        <x:v>170</x:v>
      </x:c>
      <x:c r="D10" s="7" t="s">
        <x:v>171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D2"/>
    <x:mergeCell ref="A3:D3"/>
  </x:mergeCells>
  <x:dataValidations count="1">
    <x:dataValidation type="decimal" sqref="B7:B9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f593601f3134ad5"/>
  </x:tableParts>
</x:worksheet>
</file>

<file path=xl/worksheets/sheet7.xml><?xml version="1.0" encoding="utf-8"?>
<x:worksheet xmlns:x="http://schemas.openxmlformats.org/spreadsheetml/2006/main">
  <x:sheetPr>
    <x:tabColor rgb="FF7A5AF8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2" width="14" customWidth="1"/>
    <x:col min="3" max="4" width="18" customWidth="1"/>
    <x:col min="5" max="7" width="20" customWidth="1"/>
    <x:col min="8" max="8" width="12" customWidth="1"/>
    <x:col min="9" max="9" width="14" customWidth="1"/>
    <x:col min="10" max="11" width="18" customWidth="1"/>
    <x:col min="12" max="13" width="16" customWidth="1"/>
    <x:col min="14" max="14" width="10" customWidth="1"/>
    <x:col min="15" max="15" width="54" customWidth="1"/>
    <x:col min="16" max="16" width="24" customWidth="1"/>
    <x:col min="17" max="17" width="16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5">
      <x:c r="A2" s="86" t="s">
        <x:v>172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  <x:c r="M2" s="87"/>
      <x:c r="N2" s="87"/>
      <x:c r="O2" s="87"/>
      <x:c r="P2" s="87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88" t="s">
        <x:v>173</x:v>
      </x:c>
      <x:c r="B3" s="87"/>
      <x:c r="C3" s="87"/>
      <x:c r="D3" s="87"/>
      <x:c r="E3" s="87"/>
      <x:c r="F3" s="87"/>
      <x:c r="G3" s="87"/>
      <x:c r="H3" s="87"/>
      <x:c r="I3" s="87"/>
      <x:c r="J3" s="87"/>
      <x:c r="K3" s="87"/>
      <x:c r="L3" s="87"/>
      <x:c r="M3" s="87"/>
      <x:c r="N3" s="87"/>
      <x:c r="O3" s="87"/>
      <x:c r="P3" s="87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3" t="s">
        <x:v>41</x:v>
      </x:c>
      <x:c r="B6" s="34" t="s">
        <x:v>174</x:v>
      </x:c>
      <x:c r="C6" s="34" t="s">
        <x:v>175</x:v>
      </x:c>
      <x:c r="D6" s="34" t="s">
        <x:v>176</x:v>
      </x:c>
      <x:c r="E6" s="34" t="s">
        <x:v>177</x:v>
      </x:c>
      <x:c r="F6" s="34" t="s">
        <x:v>178</x:v>
      </x:c>
      <x:c r="G6" s="34" t="s">
        <x:v>179</x:v>
      </x:c>
      <x:c r="H6" s="34" t="s">
        <x:v>180</x:v>
      </x:c>
      <x:c r="I6" s="34" t="s">
        <x:v>181</x:v>
      </x:c>
      <x:c r="J6" s="34" t="s">
        <x:v>182</x:v>
      </x:c>
      <x:c r="K6" s="34" t="s">
        <x:v>183</x:v>
      </x:c>
      <x:c r="L6" s="34" t="s">
        <x:v>45</x:v>
      </x:c>
      <x:c r="M6" s="34" t="s">
        <x:v>46</x:v>
      </x:c>
      <x:c r="N6" s="34" t="s">
        <x:v>47</x:v>
      </x:c>
      <x:c r="O6" s="34" t="s">
        <x:v>49</x:v>
      </x:c>
      <x:c r="P6" s="35" t="s">
        <x:v>146</x:v>
      </x:c>
      <x:c r="Q6" s="51" t="s">
        <x:v>51</x:v>
      </x:c>
      <x:c r="R6" s="1"/>
      <x:c r="S6" s="1"/>
      <x:c r="T6" s="1"/>
      <x:c r="U6" s="1"/>
      <x:c r="V6" s="1"/>
      <x:c r="W6" s="1"/>
      <x:c r="X6" s="1"/>
      <x:c r="Y6" s="1"/>
      <x:c r="Z6" s="1"/>
    </x:row>
    <x:row r="7" ht="23.100000381469727" customHeight="1">
      <x:c r="A7" s="5" t="s">
        <x:v>52</x:v>
      </x:c>
      <x:c r="B7" s="5" t="s">
        <x:v>184</x:v>
      </x:c>
      <x:c r="C7" s="36" t="s">
        <x:v>149</x:v>
      </x:c>
      <x:c r="D7" s="36" t="s">
        <x:v>152</x:v>
      </x:c>
      <x:c r="E7" s="39"/>
      <x:c r="F7" s="39">
        <x:v>0.58333333333333337</x:v>
      </x:c>
      <x:c r="G7" s="36" t="s">
        <x:v>185</x:v>
      </x:c>
      <x:c r="H7" s="42">
        <x:v>0</x:v>
      </x:c>
      <x:c r="I7" s="40">
        <x:v>0.83333333333333337</x:v>
      </x:c>
      <x:c r="J7" s="45"/>
      <x:c r="K7" s="43">
        <x:v>30</x:v>
      </x:c>
      <x:c r="L7" s="48">
        <x:v>45658</x:v>
      </x:c>
      <x:c r="M7" s="48"/>
      <x:c r="N7" s="36" t="s">
        <x:v>69</x:v>
      </x:c>
      <x:c r="O7" s="36" t="s">
        <x:v>186</x:v>
      </x:c>
      <x:c r="P7" s="5" t="str">
        <x:f t="shared" ref="P7:P51" si="0">IF(N7&lt;&gt;"Sim","Inativa",IF(OR(A7="",B7="",C7="",D7="",G7="",L7=""),"Configuração incompleta",IF(AND(G7="Dia útil + hora",OR(ISBLANK(H7),ISBLANK(I7))),"Prazo incompleto",IF(AND(G7="Horas úteis",ISBLANK(J7)),"Horas úteis ausentes","Regra ativa"))))</x:f>
        <x:v>Regra ativa</x:v>
      </x:c>
      <x:c r="Q7" s="52" t="s">
        <x:v>55</x:v>
      </x:c>
      <x:c r="R7" s="1"/>
      <x:c r="S7" s="1"/>
      <x:c r="T7" s="1"/>
      <x:c r="U7" s="1"/>
      <x:c r="V7" s="1"/>
      <x:c r="W7" s="1"/>
      <x:c r="X7" s="1"/>
      <x:c r="Y7" s="1"/>
      <x:c r="Z7" s="1"/>
    </x:row>
    <x:row r="8" ht="23.100000381469727" customHeight="1">
      <x:c r="A8" s="6" t="s">
        <x:v>52</x:v>
      </x:c>
      <x:c r="B8" s="6" t="s">
        <x:v>184</x:v>
      </x:c>
      <x:c r="C8" s="37" t="s">
        <x:v>149</x:v>
      </x:c>
      <x:c r="D8" s="37" t="s">
        <x:v>152</x:v>
      </x:c>
      <x:c r="E8" s="40">
        <x:v>0.58333333333333337</x:v>
      </x:c>
      <x:c r="F8" s="40"/>
      <x:c r="G8" s="37" t="s">
        <x:v>185</x:v>
      </x:c>
      <x:c r="H8" s="43">
        <x:v>2</x:v>
      </x:c>
      <x:c r="I8" s="40">
        <x:v>0.83333333333333337</x:v>
      </x:c>
      <x:c r="J8" s="46"/>
      <x:c r="K8" s="43">
        <x:v>30</x:v>
      </x:c>
      <x:c r="L8" s="49">
        <x:v>45658</x:v>
      </x:c>
      <x:c r="M8" s="49"/>
      <x:c r="N8" s="37" t="s">
        <x:v>69</x:v>
      </x:c>
      <x:c r="O8" s="37" t="s">
        <x:v>187</x:v>
      </x:c>
      <x:c r="P8" s="6" t="str">
        <x:f t="shared" si="0"/>
        <x:v>Regra ativa</x:v>
      </x:c>
      <x:c r="Q8" s="53" t="s">
        <x:v>55</x:v>
      </x:c>
      <x:c r="R8" s="1"/>
      <x:c r="S8" s="1"/>
      <x:c r="T8" s="1"/>
      <x:c r="U8" s="1"/>
      <x:c r="V8" s="1"/>
      <x:c r="W8" s="1"/>
      <x:c r="X8" s="1"/>
      <x:c r="Y8" s="1"/>
      <x:c r="Z8" s="1"/>
    </x:row>
    <x:row r="9" ht="23.100000381469727" customHeight="1">
      <x:c r="A9" s="6" t="s">
        <x:v>56</x:v>
      </x:c>
      <x:c r="B9" s="6" t="s">
        <x:v>184</x:v>
      </x:c>
      <x:c r="C9" s="37" t="s">
        <x:v>149</x:v>
      </x:c>
      <x:c r="D9" s="37" t="s">
        <x:v>152</x:v>
      </x:c>
      <x:c r="E9" s="40"/>
      <x:c r="F9" s="40">
        <x:v>0.58333333333333337</x:v>
      </x:c>
      <x:c r="G9" s="37" t="s">
        <x:v>185</x:v>
      </x:c>
      <x:c r="H9" s="43">
        <x:v>0</x:v>
      </x:c>
      <x:c r="I9" s="40">
        <x:v>0.83333333333333337</x:v>
      </x:c>
      <x:c r="J9" s="46"/>
      <x:c r="K9" s="43">
        <x:v>30</x:v>
      </x:c>
      <x:c r="L9" s="49">
        <x:v>45658</x:v>
      </x:c>
      <x:c r="M9" s="49"/>
      <x:c r="N9" s="37" t="s">
        <x:v>69</x:v>
      </x:c>
      <x:c r="O9" s="37" t="s">
        <x:v>186</x:v>
      </x:c>
      <x:c r="P9" s="6" t="str">
        <x:f t="shared" si="0"/>
        <x:v>Regra ativa</x:v>
      </x:c>
      <x:c r="Q9" s="53" t="s">
        <x:v>55</x:v>
      </x:c>
      <x:c r="R9" s="1"/>
      <x:c r="S9" s="1"/>
      <x:c r="T9" s="1"/>
      <x:c r="U9" s="1"/>
      <x:c r="V9" s="1"/>
      <x:c r="W9" s="1"/>
      <x:c r="X9" s="1"/>
      <x:c r="Y9" s="1"/>
      <x:c r="Z9" s="1"/>
    </x:row>
    <x:row r="10" ht="23.100000381469727" customHeight="1">
      <x:c r="A10" s="6" t="s">
        <x:v>56</x:v>
      </x:c>
      <x:c r="B10" s="6" t="s">
        <x:v>184</x:v>
      </x:c>
      <x:c r="C10" s="37" t="s">
        <x:v>149</x:v>
      </x:c>
      <x:c r="D10" s="37" t="s">
        <x:v>152</x:v>
      </x:c>
      <x:c r="E10" s="40">
        <x:v>0.58333333333333337</x:v>
      </x:c>
      <x:c r="F10" s="40"/>
      <x:c r="G10" s="37" t="s">
        <x:v>185</x:v>
      </x:c>
      <x:c r="H10" s="43">
        <x:v>2</x:v>
      </x:c>
      <x:c r="I10" s="40">
        <x:v>0.83333333333333337</x:v>
      </x:c>
      <x:c r="J10" s="46"/>
      <x:c r="K10" s="43">
        <x:v>30</x:v>
      </x:c>
      <x:c r="L10" s="49">
        <x:v>45658</x:v>
      </x:c>
      <x:c r="M10" s="49"/>
      <x:c r="N10" s="37" t="s">
        <x:v>69</x:v>
      </x:c>
      <x:c r="O10" s="37" t="s">
        <x:v>187</x:v>
      </x:c>
      <x:c r="P10" s="6" t="str">
        <x:f t="shared" si="0"/>
        <x:v>Regra ativa</x:v>
      </x:c>
      <x:c r="Q10" s="53" t="s">
        <x:v>55</x:v>
      </x:c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3.100000381469727" customHeight="1">
      <x:c r="A11" s="6" t="s">
        <x:v>58</x:v>
      </x:c>
      <x:c r="B11" s="6" t="s">
        <x:v>184</x:v>
      </x:c>
      <x:c r="C11" s="37" t="s">
        <x:v>149</x:v>
      </x:c>
      <x:c r="D11" s="37" t="s">
        <x:v>152</x:v>
      </x:c>
      <x:c r="E11" s="40"/>
      <x:c r="F11" s="40">
        <x:v>0.58333333333333337</x:v>
      </x:c>
      <x:c r="G11" s="37" t="s">
        <x:v>185</x:v>
      </x:c>
      <x:c r="H11" s="43">
        <x:v>0</x:v>
      </x:c>
      <x:c r="I11" s="40">
        <x:v>0.83333333333333337</x:v>
      </x:c>
      <x:c r="J11" s="46"/>
      <x:c r="K11" s="43">
        <x:v>30</x:v>
      </x:c>
      <x:c r="L11" s="49">
        <x:v>45658</x:v>
      </x:c>
      <x:c r="M11" s="49"/>
      <x:c r="N11" s="37" t="s">
        <x:v>69</x:v>
      </x:c>
      <x:c r="O11" s="37" t="s">
        <x:v>186</x:v>
      </x:c>
      <x:c r="P11" s="6" t="str">
        <x:f t="shared" si="0"/>
        <x:v>Regra ativa</x:v>
      </x:c>
      <x:c r="Q11" s="53" t="s">
        <x:v>55</x:v>
      </x:c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3.100000381469727" customHeight="1">
      <x:c r="A12" s="6" t="s">
        <x:v>58</x:v>
      </x:c>
      <x:c r="B12" s="6" t="s">
        <x:v>184</x:v>
      </x:c>
      <x:c r="C12" s="37" t="s">
        <x:v>149</x:v>
      </x:c>
      <x:c r="D12" s="37" t="s">
        <x:v>152</x:v>
      </x:c>
      <x:c r="E12" s="40">
        <x:v>0.58333333333333337</x:v>
      </x:c>
      <x:c r="F12" s="40"/>
      <x:c r="G12" s="37" t="s">
        <x:v>185</x:v>
      </x:c>
      <x:c r="H12" s="43">
        <x:v>2</x:v>
      </x:c>
      <x:c r="I12" s="40">
        <x:v>0.83333333333333337</x:v>
      </x:c>
      <x:c r="J12" s="46"/>
      <x:c r="K12" s="43">
        <x:v>30</x:v>
      </x:c>
      <x:c r="L12" s="49">
        <x:v>45658</x:v>
      </x:c>
      <x:c r="M12" s="49"/>
      <x:c r="N12" s="37" t="s">
        <x:v>69</x:v>
      </x:c>
      <x:c r="O12" s="37" t="s">
        <x:v>187</x:v>
      </x:c>
      <x:c r="P12" s="6" t="str">
        <x:f t="shared" si="0"/>
        <x:v>Regra ativa</x:v>
      </x:c>
      <x:c r="Q12" s="53" t="s">
        <x:v>55</x:v>
      </x:c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3.100000381469727" customHeight="1">
      <x:c r="A13" s="6" t="s">
        <x:v>60</x:v>
      </x:c>
      <x:c r="B13" s="6" t="s">
        <x:v>184</x:v>
      </x:c>
      <x:c r="C13" s="37" t="s">
        <x:v>149</x:v>
      </x:c>
      <x:c r="D13" s="37" t="s">
        <x:v>152</x:v>
      </x:c>
      <x:c r="E13" s="40"/>
      <x:c r="F13" s="40">
        <x:v>0.58333333333333337</x:v>
      </x:c>
      <x:c r="G13" s="37" t="s">
        <x:v>185</x:v>
      </x:c>
      <x:c r="H13" s="43">
        <x:v>0</x:v>
      </x:c>
      <x:c r="I13" s="40">
        <x:v>0.83333333333333337</x:v>
      </x:c>
      <x:c r="J13" s="46"/>
      <x:c r="K13" s="43">
        <x:v>30</x:v>
      </x:c>
      <x:c r="L13" s="49">
        <x:v>45658</x:v>
      </x:c>
      <x:c r="M13" s="49"/>
      <x:c r="N13" s="37" t="s">
        <x:v>69</x:v>
      </x:c>
      <x:c r="O13" s="37" t="s">
        <x:v>186</x:v>
      </x:c>
      <x:c r="P13" s="6" t="str">
        <x:f t="shared" si="0"/>
        <x:v>Regra ativa</x:v>
      </x:c>
      <x:c r="Q13" s="53" t="s">
        <x:v>55</x:v>
      </x:c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3.100000381469727" customHeight="1">
      <x:c r="A14" s="6" t="s">
        <x:v>60</x:v>
      </x:c>
      <x:c r="B14" s="6" t="s">
        <x:v>184</x:v>
      </x:c>
      <x:c r="C14" s="37" t="s">
        <x:v>149</x:v>
      </x:c>
      <x:c r="D14" s="37" t="s">
        <x:v>152</x:v>
      </x:c>
      <x:c r="E14" s="40">
        <x:v>0.58333333333333337</x:v>
      </x:c>
      <x:c r="F14" s="40"/>
      <x:c r="G14" s="37" t="s">
        <x:v>185</x:v>
      </x:c>
      <x:c r="H14" s="43">
        <x:v>2</x:v>
      </x:c>
      <x:c r="I14" s="40">
        <x:v>0.83333333333333337</x:v>
      </x:c>
      <x:c r="J14" s="46"/>
      <x:c r="K14" s="43">
        <x:v>30</x:v>
      </x:c>
      <x:c r="L14" s="49">
        <x:v>45658</x:v>
      </x:c>
      <x:c r="M14" s="49"/>
      <x:c r="N14" s="37" t="s">
        <x:v>69</x:v>
      </x:c>
      <x:c r="O14" s="37" t="s">
        <x:v>187</x:v>
      </x:c>
      <x:c r="P14" s="6" t="str">
        <x:f t="shared" si="0"/>
        <x:v>Regra ativa</x:v>
      </x:c>
      <x:c r="Q14" s="53" t="s">
        <x:v>55</x:v>
      </x:c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3.100000381469727" customHeight="1">
      <x:c r="A15" s="6" t="s">
        <x:v>62</x:v>
      </x:c>
      <x:c r="B15" s="6" t="s">
        <x:v>184</x:v>
      </x:c>
      <x:c r="C15" s="37" t="s">
        <x:v>149</x:v>
      </x:c>
      <x:c r="D15" s="37" t="s">
        <x:v>152</x:v>
      </x:c>
      <x:c r="E15" s="40"/>
      <x:c r="F15" s="40">
        <x:v>0.58333333333333337</x:v>
      </x:c>
      <x:c r="G15" s="37" t="s">
        <x:v>185</x:v>
      </x:c>
      <x:c r="H15" s="43">
        <x:v>0</x:v>
      </x:c>
      <x:c r="I15" s="40">
        <x:v>0.83333333333333337</x:v>
      </x:c>
      <x:c r="J15" s="46"/>
      <x:c r="K15" s="43">
        <x:v>30</x:v>
      </x:c>
      <x:c r="L15" s="49">
        <x:v>45658</x:v>
      </x:c>
      <x:c r="M15" s="49"/>
      <x:c r="N15" s="37" t="s">
        <x:v>69</x:v>
      </x:c>
      <x:c r="O15" s="37" t="s">
        <x:v>186</x:v>
      </x:c>
      <x:c r="P15" s="6" t="str">
        <x:f t="shared" si="0"/>
        <x:v>Regra ativa</x:v>
      </x:c>
      <x:c r="Q15" s="53" t="s">
        <x:v>55</x:v>
      </x:c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3.100000381469727" customHeight="1">
      <x:c r="A16" s="6" t="s">
        <x:v>62</x:v>
      </x:c>
      <x:c r="B16" s="6" t="s">
        <x:v>184</x:v>
      </x:c>
      <x:c r="C16" s="37" t="s">
        <x:v>149</x:v>
      </x:c>
      <x:c r="D16" s="37" t="s">
        <x:v>152</x:v>
      </x:c>
      <x:c r="E16" s="40">
        <x:v>0.58333333333333337</x:v>
      </x:c>
      <x:c r="F16" s="40"/>
      <x:c r="G16" s="37" t="s">
        <x:v>185</x:v>
      </x:c>
      <x:c r="H16" s="43">
        <x:v>2</x:v>
      </x:c>
      <x:c r="I16" s="40">
        <x:v>0.83333333333333337</x:v>
      </x:c>
      <x:c r="J16" s="46"/>
      <x:c r="K16" s="43">
        <x:v>30</x:v>
      </x:c>
      <x:c r="L16" s="49">
        <x:v>45658</x:v>
      </x:c>
      <x:c r="M16" s="49"/>
      <x:c r="N16" s="37" t="s">
        <x:v>69</x:v>
      </x:c>
      <x:c r="O16" s="37" t="s">
        <x:v>187</x:v>
      </x:c>
      <x:c r="P16" s="6" t="str">
        <x:f t="shared" si="0"/>
        <x:v>Regra ativa</x:v>
      </x:c>
      <x:c r="Q16" s="53" t="s">
        <x:v>55</x:v>
      </x:c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3.100000381469727" customHeight="1">
      <x:c r="A17" s="6" t="s">
        <x:v>64</x:v>
      </x:c>
      <x:c r="B17" s="6" t="s">
        <x:v>184</x:v>
      </x:c>
      <x:c r="C17" s="37" t="s">
        <x:v>149</x:v>
      </x:c>
      <x:c r="D17" s="37" t="s">
        <x:v>152</x:v>
      </x:c>
      <x:c r="E17" s="40"/>
      <x:c r="F17" s="40">
        <x:v>0.58333333333333337</x:v>
      </x:c>
      <x:c r="G17" s="37" t="s">
        <x:v>185</x:v>
      </x:c>
      <x:c r="H17" s="43">
        <x:v>0</x:v>
      </x:c>
      <x:c r="I17" s="40">
        <x:v>0.83333333333333337</x:v>
      </x:c>
      <x:c r="J17" s="46"/>
      <x:c r="K17" s="43">
        <x:v>30</x:v>
      </x:c>
      <x:c r="L17" s="49">
        <x:v>45658</x:v>
      </x:c>
      <x:c r="M17" s="49"/>
      <x:c r="N17" s="37" t="s">
        <x:v>69</x:v>
      </x:c>
      <x:c r="O17" s="37" t="s">
        <x:v>186</x:v>
      </x:c>
      <x:c r="P17" s="6" t="str">
        <x:f t="shared" si="0"/>
        <x:v>Regra ativa</x:v>
      </x:c>
      <x:c r="Q17" s="53" t="s">
        <x:v>55</x:v>
      </x:c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3.100000381469727" customHeight="1">
      <x:c r="A18" s="6" t="s">
        <x:v>64</x:v>
      </x:c>
      <x:c r="B18" s="6" t="s">
        <x:v>184</x:v>
      </x:c>
      <x:c r="C18" s="37" t="s">
        <x:v>149</x:v>
      </x:c>
      <x:c r="D18" s="37" t="s">
        <x:v>152</x:v>
      </x:c>
      <x:c r="E18" s="40">
        <x:v>0.58333333333333337</x:v>
      </x:c>
      <x:c r="F18" s="40"/>
      <x:c r="G18" s="37" t="s">
        <x:v>185</x:v>
      </x:c>
      <x:c r="H18" s="43">
        <x:v>2</x:v>
      </x:c>
      <x:c r="I18" s="40">
        <x:v>0.83333333333333337</x:v>
      </x:c>
      <x:c r="J18" s="46"/>
      <x:c r="K18" s="43">
        <x:v>30</x:v>
      </x:c>
      <x:c r="L18" s="49">
        <x:v>45658</x:v>
      </x:c>
      <x:c r="M18" s="49"/>
      <x:c r="N18" s="37" t="s">
        <x:v>69</x:v>
      </x:c>
      <x:c r="O18" s="37" t="s">
        <x:v>187</x:v>
      </x:c>
      <x:c r="P18" s="6" t="str">
        <x:f t="shared" si="0"/>
        <x:v>Regra ativa</x:v>
      </x:c>
      <x:c r="Q18" s="53" t="s">
        <x:v>55</x:v>
      </x:c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3.100000381469727" customHeight="1">
      <x:c r="A19" s="6" t="s">
        <x:v>66</x:v>
      </x:c>
      <x:c r="B19" s="6" t="s">
        <x:v>184</x:v>
      </x:c>
      <x:c r="C19" s="37" t="s">
        <x:v>149</x:v>
      </x:c>
      <x:c r="D19" s="37" t="s">
        <x:v>152</x:v>
      </x:c>
      <x:c r="E19" s="40"/>
      <x:c r="F19" s="40">
        <x:v>0.58333333333333337</x:v>
      </x:c>
      <x:c r="G19" s="37" t="s">
        <x:v>185</x:v>
      </x:c>
      <x:c r="H19" s="43">
        <x:v>0</x:v>
      </x:c>
      <x:c r="I19" s="40">
        <x:v>0.83333333333333337</x:v>
      </x:c>
      <x:c r="J19" s="46"/>
      <x:c r="K19" s="43">
        <x:v>30</x:v>
      </x:c>
      <x:c r="L19" s="49">
        <x:v>45658</x:v>
      </x:c>
      <x:c r="M19" s="49"/>
      <x:c r="N19" s="37" t="s">
        <x:v>69</x:v>
      </x:c>
      <x:c r="O19" s="37" t="s">
        <x:v>186</x:v>
      </x:c>
      <x:c r="P19" s="6" t="str">
        <x:f t="shared" si="0"/>
        <x:v>Regra ativa</x:v>
      </x:c>
      <x:c r="Q19" s="53" t="s">
        <x:v>55</x:v>
      </x:c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3.100000381469727" customHeight="1">
      <x:c r="A20" s="6" t="s">
        <x:v>66</x:v>
      </x:c>
      <x:c r="B20" s="6" t="s">
        <x:v>184</x:v>
      </x:c>
      <x:c r="C20" s="37" t="s">
        <x:v>149</x:v>
      </x:c>
      <x:c r="D20" s="37" t="s">
        <x:v>152</x:v>
      </x:c>
      <x:c r="E20" s="40">
        <x:v>0.58333333333333337</x:v>
      </x:c>
      <x:c r="F20" s="40"/>
      <x:c r="G20" s="37" t="s">
        <x:v>185</x:v>
      </x:c>
      <x:c r="H20" s="43">
        <x:v>2</x:v>
      </x:c>
      <x:c r="I20" s="40">
        <x:v>0.83333333333333337</x:v>
      </x:c>
      <x:c r="J20" s="46"/>
      <x:c r="K20" s="43">
        <x:v>30</x:v>
      </x:c>
      <x:c r="L20" s="49">
        <x:v>45658</x:v>
      </x:c>
      <x:c r="M20" s="49"/>
      <x:c r="N20" s="37" t="s">
        <x:v>69</x:v>
      </x:c>
      <x:c r="O20" s="37" t="s">
        <x:v>187</x:v>
      </x:c>
      <x:c r="P20" s="6" t="str">
        <x:f t="shared" si="0"/>
        <x:v>Regra ativa</x:v>
      </x:c>
      <x:c r="Q20" s="53" t="s">
        <x:v>55</x:v>
      </x:c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3.100000381469727" customHeight="1">
      <x:c r="A21" s="6" t="s">
        <x:v>68</x:v>
      </x:c>
      <x:c r="B21" s="6" t="s">
        <x:v>184</x:v>
      </x:c>
      <x:c r="C21" s="37" t="s">
        <x:v>149</x:v>
      </x:c>
      <x:c r="D21" s="37" t="s">
        <x:v>152</x:v>
      </x:c>
      <x:c r="E21" s="40"/>
      <x:c r="F21" s="40">
        <x:v>0.66666666666666663</x:v>
      </x:c>
      <x:c r="G21" s="37" t="s">
        <x:v>185</x:v>
      </x:c>
      <x:c r="H21" s="43">
        <x:v>0</x:v>
      </x:c>
      <x:c r="I21" s="40">
        <x:v>0.83333333333333337</x:v>
      </x:c>
      <x:c r="J21" s="46"/>
      <x:c r="K21" s="43">
        <x:v>30</x:v>
      </x:c>
      <x:c r="L21" s="49">
        <x:v>45658</x:v>
      </x:c>
      <x:c r="M21" s="49"/>
      <x:c r="N21" s="37" t="s">
        <x:v>69</x:v>
      </x:c>
      <x:c r="O21" s="37" t="s">
        <x:v>186</x:v>
      </x:c>
      <x:c r="P21" s="6" t="str">
        <x:f t="shared" si="0"/>
        <x:v>Regra ativa</x:v>
      </x:c>
      <x:c r="Q21" s="53" t="s">
        <x:v>55</x:v>
      </x:c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3.100000381469727" customHeight="1">
      <x:c r="A22" s="6" t="s">
        <x:v>68</x:v>
      </x:c>
      <x:c r="B22" s="6" t="s">
        <x:v>184</x:v>
      </x:c>
      <x:c r="C22" s="37" t="s">
        <x:v>149</x:v>
      </x:c>
      <x:c r="D22" s="37" t="s">
        <x:v>152</x:v>
      </x:c>
      <x:c r="E22" s="40">
        <x:v>0.66666666666666663</x:v>
      </x:c>
      <x:c r="F22" s="40"/>
      <x:c r="G22" s="37" t="s">
        <x:v>185</x:v>
      </x:c>
      <x:c r="H22" s="43">
        <x:v>2</x:v>
      </x:c>
      <x:c r="I22" s="40">
        <x:v>0.83333333333333337</x:v>
      </x:c>
      <x:c r="J22" s="46"/>
      <x:c r="K22" s="43">
        <x:v>30</x:v>
      </x:c>
      <x:c r="L22" s="49">
        <x:v>45658</x:v>
      </x:c>
      <x:c r="M22" s="49"/>
      <x:c r="N22" s="37" t="s">
        <x:v>69</x:v>
      </x:c>
      <x:c r="O22" s="37" t="s">
        <x:v>187</x:v>
      </x:c>
      <x:c r="P22" s="6" t="str">
        <x:f t="shared" si="0"/>
        <x:v>Regra ativa</x:v>
      </x:c>
      <x:c r="Q22" s="53" t="s">
        <x:v>55</x:v>
      </x:c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3.100000381469727" customHeight="1">
      <x:c r="A23" s="6" t="s">
        <x:v>71</x:v>
      </x:c>
      <x:c r="B23" s="6" t="s">
        <x:v>184</x:v>
      </x:c>
      <x:c r="C23" s="37" t="s">
        <x:v>149</x:v>
      </x:c>
      <x:c r="D23" s="37" t="s">
        <x:v>152</x:v>
      </x:c>
      <x:c r="E23" s="40"/>
      <x:c r="F23" s="40">
        <x:v>0.58333333333333337</x:v>
      </x:c>
      <x:c r="G23" s="37" t="s">
        <x:v>185</x:v>
      </x:c>
      <x:c r="H23" s="43">
        <x:v>0</x:v>
      </x:c>
      <x:c r="I23" s="40">
        <x:v>0.83333333333333337</x:v>
      </x:c>
      <x:c r="J23" s="46"/>
      <x:c r="K23" s="43">
        <x:v>30</x:v>
      </x:c>
      <x:c r="L23" s="49">
        <x:v>45658</x:v>
      </x:c>
      <x:c r="M23" s="49"/>
      <x:c r="N23" s="37" t="s">
        <x:v>69</x:v>
      </x:c>
      <x:c r="O23" s="37" t="s">
        <x:v>186</x:v>
      </x:c>
      <x:c r="P23" s="6" t="str">
        <x:f t="shared" si="0"/>
        <x:v>Regra ativa</x:v>
      </x:c>
      <x:c r="Q23" s="53" t="s">
        <x:v>55</x:v>
      </x:c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3.100000381469727" customHeight="1">
      <x:c r="A24" s="6" t="s">
        <x:v>71</x:v>
      </x:c>
      <x:c r="B24" s="6" t="s">
        <x:v>184</x:v>
      </x:c>
      <x:c r="C24" s="37" t="s">
        <x:v>149</x:v>
      </x:c>
      <x:c r="D24" s="37" t="s">
        <x:v>152</x:v>
      </x:c>
      <x:c r="E24" s="40">
        <x:v>0.58333333333333337</x:v>
      </x:c>
      <x:c r="F24" s="40"/>
      <x:c r="G24" s="37" t="s">
        <x:v>185</x:v>
      </x:c>
      <x:c r="H24" s="43">
        <x:v>2</x:v>
      </x:c>
      <x:c r="I24" s="40">
        <x:v>0.83333333333333337</x:v>
      </x:c>
      <x:c r="J24" s="46"/>
      <x:c r="K24" s="43">
        <x:v>30</x:v>
      </x:c>
      <x:c r="L24" s="49">
        <x:v>45658</x:v>
      </x:c>
      <x:c r="M24" s="49"/>
      <x:c r="N24" s="37" t="s">
        <x:v>69</x:v>
      </x:c>
      <x:c r="O24" s="37" t="s">
        <x:v>187</x:v>
      </x:c>
      <x:c r="P24" s="6" t="str">
        <x:f t="shared" si="0"/>
        <x:v>Regra ativa</x:v>
      </x:c>
      <x:c r="Q24" s="53" t="s">
        <x:v>55</x:v>
      </x:c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3.100000381469727" customHeight="1">
      <x:c r="A25" s="6" t="s">
        <x:v>73</x:v>
      </x:c>
      <x:c r="B25" s="6" t="s">
        <x:v>184</x:v>
      </x:c>
      <x:c r="C25" s="37" t="s">
        <x:v>149</x:v>
      </x:c>
      <x:c r="D25" s="37" t="s">
        <x:v>152</x:v>
      </x:c>
      <x:c r="E25" s="40"/>
      <x:c r="F25" s="40">
        <x:v>0.58333333333333337</x:v>
      </x:c>
      <x:c r="G25" s="37" t="s">
        <x:v>185</x:v>
      </x:c>
      <x:c r="H25" s="43">
        <x:v>0</x:v>
      </x:c>
      <x:c r="I25" s="40">
        <x:v>0.83333333333333337</x:v>
      </x:c>
      <x:c r="J25" s="46"/>
      <x:c r="K25" s="43">
        <x:v>30</x:v>
      </x:c>
      <x:c r="L25" s="49">
        <x:v>45658</x:v>
      </x:c>
      <x:c r="M25" s="49"/>
      <x:c r="N25" s="37" t="s">
        <x:v>69</x:v>
      </x:c>
      <x:c r="O25" s="37" t="s">
        <x:v>186</x:v>
      </x:c>
      <x:c r="P25" s="6" t="str">
        <x:f t="shared" si="0"/>
        <x:v>Regra ativa</x:v>
      </x:c>
      <x:c r="Q25" s="53" t="s">
        <x:v>55</x:v>
      </x:c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3.100000381469727" customHeight="1">
      <x:c r="A26" s="6" t="s">
        <x:v>73</x:v>
      </x:c>
      <x:c r="B26" s="6" t="s">
        <x:v>184</x:v>
      </x:c>
      <x:c r="C26" s="37" t="s">
        <x:v>149</x:v>
      </x:c>
      <x:c r="D26" s="37" t="s">
        <x:v>152</x:v>
      </x:c>
      <x:c r="E26" s="40">
        <x:v>0.58333333333333337</x:v>
      </x:c>
      <x:c r="F26" s="40"/>
      <x:c r="G26" s="37" t="s">
        <x:v>185</x:v>
      </x:c>
      <x:c r="H26" s="43">
        <x:v>2</x:v>
      </x:c>
      <x:c r="I26" s="40">
        <x:v>0.83333333333333337</x:v>
      </x:c>
      <x:c r="J26" s="46"/>
      <x:c r="K26" s="43">
        <x:v>30</x:v>
      </x:c>
      <x:c r="L26" s="49">
        <x:v>45658</x:v>
      </x:c>
      <x:c r="M26" s="49"/>
      <x:c r="N26" s="37" t="s">
        <x:v>69</x:v>
      </x:c>
      <x:c r="O26" s="37" t="s">
        <x:v>187</x:v>
      </x:c>
      <x:c r="P26" s="6" t="str">
        <x:f t="shared" si="0"/>
        <x:v>Regra ativa</x:v>
      </x:c>
      <x:c r="Q26" s="53" t="s">
        <x:v>55</x:v>
      </x:c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3.100000381469727" customHeight="1">
      <x:c r="A27" s="6" t="s">
        <x:v>74</x:v>
      </x:c>
      <x:c r="B27" s="6" t="s">
        <x:v>184</x:v>
      </x:c>
      <x:c r="C27" s="37" t="s">
        <x:v>149</x:v>
      </x:c>
      <x:c r="D27" s="37" t="s">
        <x:v>152</x:v>
      </x:c>
      <x:c r="E27" s="40"/>
      <x:c r="F27" s="40">
        <x:v>0.58333333333333337</x:v>
      </x:c>
      <x:c r="G27" s="37" t="s">
        <x:v>185</x:v>
      </x:c>
      <x:c r="H27" s="43">
        <x:v>0</x:v>
      </x:c>
      <x:c r="I27" s="40">
        <x:v>0.83333333333333337</x:v>
      </x:c>
      <x:c r="J27" s="46"/>
      <x:c r="K27" s="43">
        <x:v>30</x:v>
      </x:c>
      <x:c r="L27" s="49">
        <x:v>45658</x:v>
      </x:c>
      <x:c r="M27" s="49"/>
      <x:c r="N27" s="37" t="s">
        <x:v>69</x:v>
      </x:c>
      <x:c r="O27" s="37" t="s">
        <x:v>186</x:v>
      </x:c>
      <x:c r="P27" s="6" t="str">
        <x:f t="shared" si="0"/>
        <x:v>Regra ativa</x:v>
      </x:c>
      <x:c r="Q27" s="53" t="s">
        <x:v>55</x:v>
      </x:c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3.100000381469727" customHeight="1">
      <x:c r="A28" s="6" t="s">
        <x:v>74</x:v>
      </x:c>
      <x:c r="B28" s="6" t="s">
        <x:v>184</x:v>
      </x:c>
      <x:c r="C28" s="37" t="s">
        <x:v>149</x:v>
      </x:c>
      <x:c r="D28" s="37" t="s">
        <x:v>152</x:v>
      </x:c>
      <x:c r="E28" s="40">
        <x:v>0.58333333333333337</x:v>
      </x:c>
      <x:c r="F28" s="40"/>
      <x:c r="G28" s="37" t="s">
        <x:v>185</x:v>
      </x:c>
      <x:c r="H28" s="43">
        <x:v>2</x:v>
      </x:c>
      <x:c r="I28" s="40">
        <x:v>0.83333333333333337</x:v>
      </x:c>
      <x:c r="J28" s="46"/>
      <x:c r="K28" s="43">
        <x:v>30</x:v>
      </x:c>
      <x:c r="L28" s="49">
        <x:v>45658</x:v>
      </x:c>
      <x:c r="M28" s="49"/>
      <x:c r="N28" s="37" t="s">
        <x:v>69</x:v>
      </x:c>
      <x:c r="O28" s="37" t="s">
        <x:v>187</x:v>
      </x:c>
      <x:c r="P28" s="6" t="str">
        <x:f t="shared" si="0"/>
        <x:v>Regra ativa</x:v>
      </x:c>
      <x:c r="Q28" s="53" t="s">
        <x:v>55</x:v>
      </x:c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3.100000381469727" customHeight="1">
      <x:c r="A29" s="6" t="s">
        <x:v>76</x:v>
      </x:c>
      <x:c r="B29" s="6" t="s">
        <x:v>184</x:v>
      </x:c>
      <x:c r="C29" s="37" t="s">
        <x:v>149</x:v>
      </x:c>
      <x:c r="D29" s="37" t="s">
        <x:v>152</x:v>
      </x:c>
      <x:c r="E29" s="40"/>
      <x:c r="F29" s="40">
        <x:v>0.58333333333333337</x:v>
      </x:c>
      <x:c r="G29" s="37" t="s">
        <x:v>185</x:v>
      </x:c>
      <x:c r="H29" s="43">
        <x:v>0</x:v>
      </x:c>
      <x:c r="I29" s="40">
        <x:v>0.83333333333333337</x:v>
      </x:c>
      <x:c r="J29" s="46"/>
      <x:c r="K29" s="43">
        <x:v>30</x:v>
      </x:c>
      <x:c r="L29" s="49">
        <x:v>45658</x:v>
      </x:c>
      <x:c r="M29" s="49"/>
      <x:c r="N29" s="37" t="s">
        <x:v>69</x:v>
      </x:c>
      <x:c r="O29" s="37" t="s">
        <x:v>186</x:v>
      </x:c>
      <x:c r="P29" s="6" t="str">
        <x:f t="shared" si="0"/>
        <x:v>Regra ativa</x:v>
      </x:c>
      <x:c r="Q29" s="53" t="s">
        <x:v>55</x:v>
      </x:c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3.100000381469727" customHeight="1">
      <x:c r="A30" s="6" t="s">
        <x:v>76</x:v>
      </x:c>
      <x:c r="B30" s="6" t="s">
        <x:v>184</x:v>
      </x:c>
      <x:c r="C30" s="37" t="s">
        <x:v>149</x:v>
      </x:c>
      <x:c r="D30" s="37" t="s">
        <x:v>152</x:v>
      </x:c>
      <x:c r="E30" s="40">
        <x:v>0.58333333333333337</x:v>
      </x:c>
      <x:c r="F30" s="40"/>
      <x:c r="G30" s="37" t="s">
        <x:v>185</x:v>
      </x:c>
      <x:c r="H30" s="43">
        <x:v>2</x:v>
      </x:c>
      <x:c r="I30" s="40">
        <x:v>0.83333333333333337</x:v>
      </x:c>
      <x:c r="J30" s="46"/>
      <x:c r="K30" s="43">
        <x:v>30</x:v>
      </x:c>
      <x:c r="L30" s="49">
        <x:v>45658</x:v>
      </x:c>
      <x:c r="M30" s="49"/>
      <x:c r="N30" s="37" t="s">
        <x:v>69</x:v>
      </x:c>
      <x:c r="O30" s="37" t="s">
        <x:v>187</x:v>
      </x:c>
      <x:c r="P30" s="6" t="str">
        <x:f t="shared" si="0"/>
        <x:v>Regra ativa</x:v>
      </x:c>
      <x:c r="Q30" s="53" t="s">
        <x:v>55</x:v>
      </x:c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3.100000381469727" customHeight="1">
      <x:c r="A31" s="6" t="s">
        <x:v>78</x:v>
      </x:c>
      <x:c r="B31" s="6" t="s">
        <x:v>184</x:v>
      </x:c>
      <x:c r="C31" s="37" t="s">
        <x:v>149</x:v>
      </x:c>
      <x:c r="D31" s="37" t="s">
        <x:v>152</x:v>
      </x:c>
      <x:c r="E31" s="40"/>
      <x:c r="F31" s="40">
        <x:v>0.625</x:v>
      </x:c>
      <x:c r="G31" s="37" t="s">
        <x:v>185</x:v>
      </x:c>
      <x:c r="H31" s="43">
        <x:v>0</x:v>
      </x:c>
      <x:c r="I31" s="40">
        <x:v>0.83333333333333337</x:v>
      </x:c>
      <x:c r="J31" s="46"/>
      <x:c r="K31" s="43">
        <x:v>30</x:v>
      </x:c>
      <x:c r="L31" s="49">
        <x:v>45658</x:v>
      </x:c>
      <x:c r="M31" s="49"/>
      <x:c r="N31" s="37" t="s">
        <x:v>69</x:v>
      </x:c>
      <x:c r="O31" s="37" t="s">
        <x:v>186</x:v>
      </x:c>
      <x:c r="P31" s="6" t="str">
        <x:f t="shared" si="0"/>
        <x:v>Regra ativa</x:v>
      </x:c>
      <x:c r="Q31" s="53" t="s">
        <x:v>55</x:v>
      </x:c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23.100000381469727" customHeight="1">
      <x:c r="A32" s="6" t="s">
        <x:v>78</x:v>
      </x:c>
      <x:c r="B32" s="6" t="s">
        <x:v>184</x:v>
      </x:c>
      <x:c r="C32" s="37" t="s">
        <x:v>149</x:v>
      </x:c>
      <x:c r="D32" s="37" t="s">
        <x:v>152</x:v>
      </x:c>
      <x:c r="E32" s="40">
        <x:v>0.625</x:v>
      </x:c>
      <x:c r="F32" s="40"/>
      <x:c r="G32" s="37" t="s">
        <x:v>185</x:v>
      </x:c>
      <x:c r="H32" s="43">
        <x:v>2</x:v>
      </x:c>
      <x:c r="I32" s="40">
        <x:v>0.83333333333333337</x:v>
      </x:c>
      <x:c r="J32" s="46"/>
      <x:c r="K32" s="43">
        <x:v>30</x:v>
      </x:c>
      <x:c r="L32" s="49">
        <x:v>45658</x:v>
      </x:c>
      <x:c r="M32" s="49"/>
      <x:c r="N32" s="37" t="s">
        <x:v>69</x:v>
      </x:c>
      <x:c r="O32" s="37" t="s">
        <x:v>187</x:v>
      </x:c>
      <x:c r="P32" s="6" t="str">
        <x:f t="shared" si="0"/>
        <x:v>Regra ativa</x:v>
      </x:c>
      <x:c r="Q32" s="53" t="s">
        <x:v>55</x:v>
      </x:c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23.100000381469727" customHeight="1">
      <x:c r="A33" s="6" t="s">
        <x:v>80</x:v>
      </x:c>
      <x:c r="B33" s="6" t="s">
        <x:v>184</x:v>
      </x:c>
      <x:c r="C33" s="37" t="s">
        <x:v>149</x:v>
      </x:c>
      <x:c r="D33" s="37" t="s">
        <x:v>152</x:v>
      </x:c>
      <x:c r="E33" s="40"/>
      <x:c r="F33" s="40">
        <x:v>0.58333333333333337</x:v>
      </x:c>
      <x:c r="G33" s="37" t="s">
        <x:v>185</x:v>
      </x:c>
      <x:c r="H33" s="43">
        <x:v>0</x:v>
      </x:c>
      <x:c r="I33" s="40">
        <x:v>0.83333333333333337</x:v>
      </x:c>
      <x:c r="J33" s="46"/>
      <x:c r="K33" s="43">
        <x:v>30</x:v>
      </x:c>
      <x:c r="L33" s="49">
        <x:v>45658</x:v>
      </x:c>
      <x:c r="M33" s="49"/>
      <x:c r="N33" s="37" t="s">
        <x:v>69</x:v>
      </x:c>
      <x:c r="O33" s="37" t="s">
        <x:v>186</x:v>
      </x:c>
      <x:c r="P33" s="6" t="str">
        <x:f t="shared" si="0"/>
        <x:v>Regra ativa</x:v>
      </x:c>
      <x:c r="Q33" s="53" t="s">
        <x:v>55</x:v>
      </x:c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23.100000381469727" customHeight="1">
      <x:c r="A34" s="6" t="s">
        <x:v>80</x:v>
      </x:c>
      <x:c r="B34" s="6" t="s">
        <x:v>184</x:v>
      </x:c>
      <x:c r="C34" s="37" t="s">
        <x:v>149</x:v>
      </x:c>
      <x:c r="D34" s="37" t="s">
        <x:v>152</x:v>
      </x:c>
      <x:c r="E34" s="40">
        <x:v>0.58333333333333337</x:v>
      </x:c>
      <x:c r="F34" s="40"/>
      <x:c r="G34" s="37" t="s">
        <x:v>185</x:v>
      </x:c>
      <x:c r="H34" s="43">
        <x:v>2</x:v>
      </x:c>
      <x:c r="I34" s="40">
        <x:v>0.83333333333333337</x:v>
      </x:c>
      <x:c r="J34" s="46"/>
      <x:c r="K34" s="43">
        <x:v>30</x:v>
      </x:c>
      <x:c r="L34" s="49">
        <x:v>45658</x:v>
      </x:c>
      <x:c r="M34" s="49"/>
      <x:c r="N34" s="37" t="s">
        <x:v>69</x:v>
      </x:c>
      <x:c r="O34" s="37" t="s">
        <x:v>187</x:v>
      </x:c>
      <x:c r="P34" s="6" t="str">
        <x:f t="shared" si="0"/>
        <x:v>Regra ativa</x:v>
      </x:c>
      <x:c r="Q34" s="53" t="s">
        <x:v>55</x:v>
      </x:c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23.100000381469727" customHeight="1">
      <x:c r="A35" s="6" t="s">
        <x:v>82</x:v>
      </x:c>
      <x:c r="B35" s="6" t="s">
        <x:v>184</x:v>
      </x:c>
      <x:c r="C35" s="37" t="s">
        <x:v>150</x:v>
      </x:c>
      <x:c r="D35" s="37" t="s">
        <x:v>152</x:v>
      </x:c>
      <x:c r="E35" s="40"/>
      <x:c r="F35" s="40">
        <x:v>0.58333333333333337</x:v>
      </x:c>
      <x:c r="G35" s="37" t="s">
        <x:v>185</x:v>
      </x:c>
      <x:c r="H35" s="43">
        <x:v>0</x:v>
      </x:c>
      <x:c r="I35" s="40">
        <x:v>0.83333333333333337</x:v>
      </x:c>
      <x:c r="J35" s="46"/>
      <x:c r="K35" s="43">
        <x:v>30</x:v>
      </x:c>
      <x:c r="L35" s="49">
        <x:v>45658</x:v>
      </x:c>
      <x:c r="M35" s="49"/>
      <x:c r="N35" s="37" t="s">
        <x:v>69</x:v>
      </x:c>
      <x:c r="O35" s="37" t="s">
        <x:v>186</x:v>
      </x:c>
      <x:c r="P35" s="6" t="str">
        <x:f t="shared" si="0"/>
        <x:v>Regra ativa</x:v>
      </x:c>
      <x:c r="Q35" s="53" t="s">
        <x:v>55</x:v>
      </x:c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23.100000381469727" customHeight="1">
      <x:c r="A36" s="6" t="s">
        <x:v>82</x:v>
      </x:c>
      <x:c r="B36" s="6" t="s">
        <x:v>184</x:v>
      </x:c>
      <x:c r="C36" s="37" t="s">
        <x:v>150</x:v>
      </x:c>
      <x:c r="D36" s="37" t="s">
        <x:v>152</x:v>
      </x:c>
      <x:c r="E36" s="40">
        <x:v>0.58333333333333337</x:v>
      </x:c>
      <x:c r="F36" s="40"/>
      <x:c r="G36" s="37" t="s">
        <x:v>185</x:v>
      </x:c>
      <x:c r="H36" s="43">
        <x:v>2</x:v>
      </x:c>
      <x:c r="I36" s="40">
        <x:v>0.83333333333333337</x:v>
      </x:c>
      <x:c r="J36" s="46"/>
      <x:c r="K36" s="43">
        <x:v>30</x:v>
      </x:c>
      <x:c r="L36" s="49">
        <x:v>45658</x:v>
      </x:c>
      <x:c r="M36" s="49"/>
      <x:c r="N36" s="37" t="s">
        <x:v>69</x:v>
      </x:c>
      <x:c r="O36" s="37" t="s">
        <x:v>187</x:v>
      </x:c>
      <x:c r="P36" s="6" t="str">
        <x:f t="shared" si="0"/>
        <x:v>Regra ativa</x:v>
      </x:c>
      <x:c r="Q36" s="53" t="s">
        <x:v>55</x:v>
      </x:c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23.100000381469727" customHeight="1">
      <x:c r="A37" s="6" t="s">
        <x:v>84</x:v>
      </x:c>
      <x:c r="B37" s="6" t="s">
        <x:v>184</x:v>
      </x:c>
      <x:c r="C37" s="37" t="s">
        <x:v>151</x:v>
      </x:c>
      <x:c r="D37" s="37" t="s">
        <x:v>152</x:v>
      </x:c>
      <x:c r="E37" s="40"/>
      <x:c r="F37" s="40">
        <x:v>0.5</x:v>
      </x:c>
      <x:c r="G37" s="37" t="s">
        <x:v>185</x:v>
      </x:c>
      <x:c r="H37" s="43">
        <x:v>0</x:v>
      </x:c>
      <x:c r="I37" s="40">
        <x:v>0.83333333333333337</x:v>
      </x:c>
      <x:c r="J37" s="46"/>
      <x:c r="K37" s="43">
        <x:v>30</x:v>
      </x:c>
      <x:c r="L37" s="49">
        <x:v>45658</x:v>
      </x:c>
      <x:c r="M37" s="49"/>
      <x:c r="N37" s="37" t="s">
        <x:v>69</x:v>
      </x:c>
      <x:c r="O37" s="37" t="s">
        <x:v>186</x:v>
      </x:c>
      <x:c r="P37" s="6" t="str">
        <x:f t="shared" si="0"/>
        <x:v>Regra ativa</x:v>
      </x:c>
      <x:c r="Q37" s="53" t="s">
        <x:v>55</x:v>
      </x:c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23.100000381469727" customHeight="1">
      <x:c r="A38" s="6" t="s">
        <x:v>84</x:v>
      </x:c>
      <x:c r="B38" s="6" t="s">
        <x:v>184</x:v>
      </x:c>
      <x:c r="C38" s="37" t="s">
        <x:v>151</x:v>
      </x:c>
      <x:c r="D38" s="37" t="s">
        <x:v>152</x:v>
      </x:c>
      <x:c r="E38" s="40">
        <x:v>0.5</x:v>
      </x:c>
      <x:c r="F38" s="40"/>
      <x:c r="G38" s="37" t="s">
        <x:v>185</x:v>
      </x:c>
      <x:c r="H38" s="43">
        <x:v>2</x:v>
      </x:c>
      <x:c r="I38" s="40">
        <x:v>0.83333333333333337</x:v>
      </x:c>
      <x:c r="J38" s="46"/>
      <x:c r="K38" s="43">
        <x:v>30</x:v>
      </x:c>
      <x:c r="L38" s="49">
        <x:v>45658</x:v>
      </x:c>
      <x:c r="M38" s="49"/>
      <x:c r="N38" s="37" t="s">
        <x:v>69</x:v>
      </x:c>
      <x:c r="O38" s="37" t="s">
        <x:v>187</x:v>
      </x:c>
      <x:c r="P38" s="6" t="str">
        <x:f t="shared" si="0"/>
        <x:v>Regra ativa</x:v>
      </x:c>
      <x:c r="Q38" s="53" t="s">
        <x:v>55</x:v>
      </x:c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23.100000381469727" customHeight="1">
      <x:c r="A39" s="6" t="s">
        <x:v>86</x:v>
      </x:c>
      <x:c r="B39" s="6" t="s">
        <x:v>184</x:v>
      </x:c>
      <x:c r="C39" s="37" t="s">
        <x:v>149</x:v>
      </x:c>
      <x:c r="D39" s="37" t="s">
        <x:v>152</x:v>
      </x:c>
      <x:c r="E39" s="40"/>
      <x:c r="F39" s="40">
        <x:v>0.58333333333333337</x:v>
      </x:c>
      <x:c r="G39" s="37" t="s">
        <x:v>185</x:v>
      </x:c>
      <x:c r="H39" s="43">
        <x:v>0</x:v>
      </x:c>
      <x:c r="I39" s="40">
        <x:v>0.83333333333333337</x:v>
      </x:c>
      <x:c r="J39" s="46"/>
      <x:c r="K39" s="43">
        <x:v>30</x:v>
      </x:c>
      <x:c r="L39" s="49">
        <x:v>45658</x:v>
      </x:c>
      <x:c r="M39" s="49"/>
      <x:c r="N39" s="37" t="s">
        <x:v>69</x:v>
      </x:c>
      <x:c r="O39" s="37" t="s">
        <x:v>186</x:v>
      </x:c>
      <x:c r="P39" s="6" t="str">
        <x:f t="shared" si="0"/>
        <x:v>Regra ativa</x:v>
      </x:c>
      <x:c r="Q39" s="53" t="s">
        <x:v>55</x:v>
      </x:c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23.100000381469727" customHeight="1">
      <x:c r="A40" s="6" t="s">
        <x:v>86</x:v>
      </x:c>
      <x:c r="B40" s="6" t="s">
        <x:v>184</x:v>
      </x:c>
      <x:c r="C40" s="37" t="s">
        <x:v>149</x:v>
      </x:c>
      <x:c r="D40" s="37" t="s">
        <x:v>152</x:v>
      </x:c>
      <x:c r="E40" s="40">
        <x:v>0.58333333333333337</x:v>
      </x:c>
      <x:c r="F40" s="40"/>
      <x:c r="G40" s="37" t="s">
        <x:v>185</x:v>
      </x:c>
      <x:c r="H40" s="43">
        <x:v>2</x:v>
      </x:c>
      <x:c r="I40" s="40">
        <x:v>0.83333333333333337</x:v>
      </x:c>
      <x:c r="J40" s="46"/>
      <x:c r="K40" s="43">
        <x:v>30</x:v>
      </x:c>
      <x:c r="L40" s="49">
        <x:v>45658</x:v>
      </x:c>
      <x:c r="M40" s="49"/>
      <x:c r="N40" s="37" t="s">
        <x:v>69</x:v>
      </x:c>
      <x:c r="O40" s="37" t="s">
        <x:v>187</x:v>
      </x:c>
      <x:c r="P40" s="6" t="str">
        <x:f t="shared" si="0"/>
        <x:v>Regra ativa</x:v>
      </x:c>
      <x:c r="Q40" s="53" t="s">
        <x:v>55</x:v>
      </x:c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23.100000381469727" customHeight="1">
      <x:c r="A41" s="6" t="s">
        <x:v>88</x:v>
      </x:c>
      <x:c r="B41" s="6" t="s">
        <x:v>184</x:v>
      </x:c>
      <x:c r="C41" s="37" t="s">
        <x:v>149</x:v>
      </x:c>
      <x:c r="D41" s="37" t="s">
        <x:v>152</x:v>
      </x:c>
      <x:c r="E41" s="40"/>
      <x:c r="F41" s="40">
        <x:v>0.58333333333333337</x:v>
      </x:c>
      <x:c r="G41" s="37" t="s">
        <x:v>185</x:v>
      </x:c>
      <x:c r="H41" s="43">
        <x:v>0</x:v>
      </x:c>
      <x:c r="I41" s="40">
        <x:v>0.83333333333333337</x:v>
      </x:c>
      <x:c r="J41" s="46"/>
      <x:c r="K41" s="43">
        <x:v>30</x:v>
      </x:c>
      <x:c r="L41" s="49">
        <x:v>45658</x:v>
      </x:c>
      <x:c r="M41" s="49"/>
      <x:c r="N41" s="37" t="s">
        <x:v>69</x:v>
      </x:c>
      <x:c r="O41" s="37" t="s">
        <x:v>186</x:v>
      </x:c>
      <x:c r="P41" s="6" t="str">
        <x:f t="shared" si="0"/>
        <x:v>Regra ativa</x:v>
      </x:c>
      <x:c r="Q41" s="53" t="s">
        <x:v>55</x:v>
      </x:c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23.100000381469727" customHeight="1">
      <x:c r="A42" s="6" t="s">
        <x:v>88</x:v>
      </x:c>
      <x:c r="B42" s="6" t="s">
        <x:v>184</x:v>
      </x:c>
      <x:c r="C42" s="37" t="s">
        <x:v>149</x:v>
      </x:c>
      <x:c r="D42" s="37" t="s">
        <x:v>152</x:v>
      </x:c>
      <x:c r="E42" s="40">
        <x:v>0.58333333333333337</x:v>
      </x:c>
      <x:c r="F42" s="40"/>
      <x:c r="G42" s="37" t="s">
        <x:v>185</x:v>
      </x:c>
      <x:c r="H42" s="43">
        <x:v>2</x:v>
      </x:c>
      <x:c r="I42" s="40">
        <x:v>0.83333333333333337</x:v>
      </x:c>
      <x:c r="J42" s="46"/>
      <x:c r="K42" s="43">
        <x:v>30</x:v>
      </x:c>
      <x:c r="L42" s="49">
        <x:v>45658</x:v>
      </x:c>
      <x:c r="M42" s="49"/>
      <x:c r="N42" s="37" t="s">
        <x:v>69</x:v>
      </x:c>
      <x:c r="O42" s="37" t="s">
        <x:v>187</x:v>
      </x:c>
      <x:c r="P42" s="6" t="str">
        <x:f t="shared" si="0"/>
        <x:v>Regra ativa</x:v>
      </x:c>
      <x:c r="Q42" s="53" t="s">
        <x:v>55</x:v>
      </x:c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23.100000381469727" customHeight="1">
      <x:c r="A43" s="6" t="s">
        <x:v>90</x:v>
      </x:c>
      <x:c r="B43" s="6" t="s">
        <x:v>184</x:v>
      </x:c>
      <x:c r="C43" s="37" t="s">
        <x:v>149</x:v>
      </x:c>
      <x:c r="D43" s="37" t="s">
        <x:v>152</x:v>
      </x:c>
      <x:c r="E43" s="40"/>
      <x:c r="F43" s="40">
        <x:v>0.66666666666666663</x:v>
      </x:c>
      <x:c r="G43" s="37" t="s">
        <x:v>185</x:v>
      </x:c>
      <x:c r="H43" s="43">
        <x:v>0</x:v>
      </x:c>
      <x:c r="I43" s="40">
        <x:v>0.83333333333333337</x:v>
      </x:c>
      <x:c r="J43" s="46"/>
      <x:c r="K43" s="43">
        <x:v>30</x:v>
      </x:c>
      <x:c r="L43" s="49">
        <x:v>45658</x:v>
      </x:c>
      <x:c r="M43" s="49"/>
      <x:c r="N43" s="37" t="s">
        <x:v>69</x:v>
      </x:c>
      <x:c r="O43" s="37" t="s">
        <x:v>186</x:v>
      </x:c>
      <x:c r="P43" s="6" t="str">
        <x:f t="shared" si="0"/>
        <x:v>Regra ativa</x:v>
      </x:c>
      <x:c r="Q43" s="53" t="s">
        <x:v>55</x:v>
      </x:c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23.100000381469727" customHeight="1">
      <x:c r="A44" s="6" t="s">
        <x:v>90</x:v>
      </x:c>
      <x:c r="B44" s="6" t="s">
        <x:v>184</x:v>
      </x:c>
      <x:c r="C44" s="37" t="s">
        <x:v>149</x:v>
      </x:c>
      <x:c r="D44" s="37" t="s">
        <x:v>152</x:v>
      </x:c>
      <x:c r="E44" s="40">
        <x:v>0.66666666666666663</x:v>
      </x:c>
      <x:c r="F44" s="40"/>
      <x:c r="G44" s="37" t="s">
        <x:v>185</x:v>
      </x:c>
      <x:c r="H44" s="43">
        <x:v>2</x:v>
      </x:c>
      <x:c r="I44" s="40">
        <x:v>0.83333333333333337</x:v>
      </x:c>
      <x:c r="J44" s="46"/>
      <x:c r="K44" s="43">
        <x:v>30</x:v>
      </x:c>
      <x:c r="L44" s="49">
        <x:v>45658</x:v>
      </x:c>
      <x:c r="M44" s="49"/>
      <x:c r="N44" s="37" t="s">
        <x:v>69</x:v>
      </x:c>
      <x:c r="O44" s="37" t="s">
        <x:v>187</x:v>
      </x:c>
      <x:c r="P44" s="6" t="str">
        <x:f t="shared" si="0"/>
        <x:v>Regra ativa</x:v>
      </x:c>
      <x:c r="Q44" s="53" t="s">
        <x:v>55</x:v>
      </x:c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23.100000381469727" customHeight="1">
      <x:c r="A45" s="6" t="s">
        <x:v>92</x:v>
      </x:c>
      <x:c r="B45" s="6" t="s">
        <x:v>184</x:v>
      </x:c>
      <x:c r="C45" s="37" t="s">
        <x:v>149</x:v>
      </x:c>
      <x:c r="D45" s="37" t="s">
        <x:v>152</x:v>
      </x:c>
      <x:c r="E45" s="40"/>
      <x:c r="F45" s="40">
        <x:v>0.58333333333333337</x:v>
      </x:c>
      <x:c r="G45" s="37" t="s">
        <x:v>185</x:v>
      </x:c>
      <x:c r="H45" s="43">
        <x:v>0</x:v>
      </x:c>
      <x:c r="I45" s="40">
        <x:v>0.83333333333333337</x:v>
      </x:c>
      <x:c r="J45" s="46"/>
      <x:c r="K45" s="43">
        <x:v>30</x:v>
      </x:c>
      <x:c r="L45" s="49">
        <x:v>45658</x:v>
      </x:c>
      <x:c r="M45" s="49"/>
      <x:c r="N45" s="37" t="s">
        <x:v>69</x:v>
      </x:c>
      <x:c r="O45" s="37" t="s">
        <x:v>186</x:v>
      </x:c>
      <x:c r="P45" s="6" t="str">
        <x:f t="shared" si="0"/>
        <x:v>Regra ativa</x:v>
      </x:c>
      <x:c r="Q45" s="53" t="s">
        <x:v>55</x:v>
      </x:c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23.100000381469727" customHeight="1">
      <x:c r="A46" s="6" t="s">
        <x:v>92</x:v>
      </x:c>
      <x:c r="B46" s="6" t="s">
        <x:v>184</x:v>
      </x:c>
      <x:c r="C46" s="37" t="s">
        <x:v>149</x:v>
      </x:c>
      <x:c r="D46" s="37" t="s">
        <x:v>152</x:v>
      </x:c>
      <x:c r="E46" s="40">
        <x:v>0.58333333333333337</x:v>
      </x:c>
      <x:c r="F46" s="40"/>
      <x:c r="G46" s="37" t="s">
        <x:v>185</x:v>
      </x:c>
      <x:c r="H46" s="43">
        <x:v>2</x:v>
      </x:c>
      <x:c r="I46" s="40">
        <x:v>0.83333333333333337</x:v>
      </x:c>
      <x:c r="J46" s="46"/>
      <x:c r="K46" s="43">
        <x:v>30</x:v>
      </x:c>
      <x:c r="L46" s="49">
        <x:v>45658</x:v>
      </x:c>
      <x:c r="M46" s="49"/>
      <x:c r="N46" s="37" t="s">
        <x:v>69</x:v>
      </x:c>
      <x:c r="O46" s="37" t="s">
        <x:v>187</x:v>
      </x:c>
      <x:c r="P46" s="6" t="str">
        <x:f t="shared" si="0"/>
        <x:v>Regra ativa</x:v>
      </x:c>
      <x:c r="Q46" s="53" t="s">
        <x:v>55</x:v>
      </x:c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23.100000381469727" customHeight="1">
      <x:c r="A47" s="6" t="s">
        <x:v>94</x:v>
      </x:c>
      <x:c r="B47" s="6" t="s">
        <x:v>184</x:v>
      </x:c>
      <x:c r="C47" s="37" t="s">
        <x:v>149</x:v>
      </x:c>
      <x:c r="D47" s="37" t="s">
        <x:v>152</x:v>
      </x:c>
      <x:c r="E47" s="40"/>
      <x:c r="F47" s="40">
        <x:v>0.58333333333333337</x:v>
      </x:c>
      <x:c r="G47" s="37" t="s">
        <x:v>185</x:v>
      </x:c>
      <x:c r="H47" s="43">
        <x:v>0</x:v>
      </x:c>
      <x:c r="I47" s="40">
        <x:v>0.83333333333333337</x:v>
      </x:c>
      <x:c r="J47" s="46"/>
      <x:c r="K47" s="43">
        <x:v>30</x:v>
      </x:c>
      <x:c r="L47" s="49">
        <x:v>45658</x:v>
      </x:c>
      <x:c r="M47" s="49"/>
      <x:c r="N47" s="37" t="s">
        <x:v>69</x:v>
      </x:c>
      <x:c r="O47" s="37" t="s">
        <x:v>186</x:v>
      </x:c>
      <x:c r="P47" s="6" t="str">
        <x:f t="shared" si="0"/>
        <x:v>Regra ativa</x:v>
      </x:c>
      <x:c r="Q47" s="53" t="s">
        <x:v>55</x:v>
      </x:c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23.100000381469727" customHeight="1">
      <x:c r="A48" s="6" t="s">
        <x:v>94</x:v>
      </x:c>
      <x:c r="B48" s="6" t="s">
        <x:v>184</x:v>
      </x:c>
      <x:c r="C48" s="37" t="s">
        <x:v>149</x:v>
      </x:c>
      <x:c r="D48" s="37" t="s">
        <x:v>152</x:v>
      </x:c>
      <x:c r="E48" s="40">
        <x:v>0.58333333333333337</x:v>
      </x:c>
      <x:c r="F48" s="40"/>
      <x:c r="G48" s="37" t="s">
        <x:v>185</x:v>
      </x:c>
      <x:c r="H48" s="43">
        <x:v>2</x:v>
      </x:c>
      <x:c r="I48" s="40">
        <x:v>0.83333333333333337</x:v>
      </x:c>
      <x:c r="J48" s="46"/>
      <x:c r="K48" s="43">
        <x:v>30</x:v>
      </x:c>
      <x:c r="L48" s="49">
        <x:v>45658</x:v>
      </x:c>
      <x:c r="M48" s="49"/>
      <x:c r="N48" s="37" t="s">
        <x:v>69</x:v>
      </x:c>
      <x:c r="O48" s="37" t="s">
        <x:v>187</x:v>
      </x:c>
      <x:c r="P48" s="6" t="str">
        <x:f t="shared" si="0"/>
        <x:v>Regra ativa</x:v>
      </x:c>
      <x:c r="Q48" s="53" t="s">
        <x:v>55</x:v>
      </x:c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23.100000381469727" customHeight="1">
      <x:c r="A49" s="6" t="s">
        <x:v>96</x:v>
      </x:c>
      <x:c r="B49" s="6" t="s">
        <x:v>184</x:v>
      </x:c>
      <x:c r="C49" s="37" t="s">
        <x:v>149</x:v>
      </x:c>
      <x:c r="D49" s="37" t="s">
        <x:v>152</x:v>
      </x:c>
      <x:c r="E49" s="40"/>
      <x:c r="F49" s="40">
        <x:v>0.58333333333333337</x:v>
      </x:c>
      <x:c r="G49" s="37" t="s">
        <x:v>185</x:v>
      </x:c>
      <x:c r="H49" s="43">
        <x:v>0</x:v>
      </x:c>
      <x:c r="I49" s="40">
        <x:v>0.83333333333333337</x:v>
      </x:c>
      <x:c r="J49" s="46"/>
      <x:c r="K49" s="43">
        <x:v>30</x:v>
      </x:c>
      <x:c r="L49" s="49">
        <x:v>45658</x:v>
      </x:c>
      <x:c r="M49" s="49"/>
      <x:c r="N49" s="37" t="s">
        <x:v>69</x:v>
      </x:c>
      <x:c r="O49" s="37" t="s">
        <x:v>186</x:v>
      </x:c>
      <x:c r="P49" s="6" t="str">
        <x:f t="shared" si="0"/>
        <x:v>Regra ativa</x:v>
      </x:c>
      <x:c r="Q49" s="53" t="s">
        <x:v>55</x:v>
      </x:c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23.100000381469727" customHeight="1">
      <x:c r="A50" s="6" t="s">
        <x:v>96</x:v>
      </x:c>
      <x:c r="B50" s="6" t="s">
        <x:v>184</x:v>
      </x:c>
      <x:c r="C50" s="37" t="s">
        <x:v>149</x:v>
      </x:c>
      <x:c r="D50" s="37" t="s">
        <x:v>152</x:v>
      </x:c>
      <x:c r="E50" s="40">
        <x:v>0.58333333333333337</x:v>
      </x:c>
      <x:c r="F50" s="40"/>
      <x:c r="G50" s="37" t="s">
        <x:v>185</x:v>
      </x:c>
      <x:c r="H50" s="43">
        <x:v>2</x:v>
      </x:c>
      <x:c r="I50" s="40">
        <x:v>0.83333333333333337</x:v>
      </x:c>
      <x:c r="J50" s="46"/>
      <x:c r="K50" s="43">
        <x:v>30</x:v>
      </x:c>
      <x:c r="L50" s="49">
        <x:v>45658</x:v>
      </x:c>
      <x:c r="M50" s="49"/>
      <x:c r="N50" s="37" t="s">
        <x:v>69</x:v>
      </x:c>
      <x:c r="O50" s="37" t="s">
        <x:v>187</x:v>
      </x:c>
      <x:c r="P50" s="6" t="str">
        <x:f t="shared" si="0"/>
        <x:v>Regra ativa</x:v>
      </x:c>
      <x:c r="Q50" s="53" t="s">
        <x:v>55</x:v>
      </x:c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23.100000381469727" customHeight="1">
      <x:c r="A51" s="6" t="s">
        <x:v>97</x:v>
      </x:c>
      <x:c r="B51" s="6" t="s">
        <x:v>184</x:v>
      </x:c>
      <x:c r="C51" s="37" t="s">
        <x:v>149</x:v>
      </x:c>
      <x:c r="D51" s="37" t="s">
        <x:v>152</x:v>
      </x:c>
      <x:c r="E51" s="40"/>
      <x:c r="F51" s="40">
        <x:v>0.58333333333333337</x:v>
      </x:c>
      <x:c r="G51" s="37" t="s">
        <x:v>185</x:v>
      </x:c>
      <x:c r="H51" s="43">
        <x:v>0</x:v>
      </x:c>
      <x:c r="I51" s="40">
        <x:v>0.83333333333333337</x:v>
      </x:c>
      <x:c r="J51" s="46"/>
      <x:c r="K51" s="43">
        <x:v>30</x:v>
      </x:c>
      <x:c r="L51" s="49">
        <x:v>45658</x:v>
      </x:c>
      <x:c r="M51" s="49"/>
      <x:c r="N51" s="37" t="s">
        <x:v>69</x:v>
      </x:c>
      <x:c r="O51" s="37" t="s">
        <x:v>186</x:v>
      </x:c>
      <x:c r="P51" s="6" t="str">
        <x:f t="shared" si="0"/>
        <x:v>Regra ativa</x:v>
      </x:c>
      <x:c r="Q51" s="53" t="s">
        <x:v>55</x:v>
      </x:c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23.100000381469727" customHeight="1">
      <x:c r="A52" s="7" t="s">
        <x:v>97</x:v>
      </x:c>
      <x:c r="B52" s="7" t="s">
        <x:v>184</x:v>
      </x:c>
      <x:c r="C52" s="38" t="s">
        <x:v>149</x:v>
      </x:c>
      <x:c r="D52" s="38" t="s">
        <x:v>152</x:v>
      </x:c>
      <x:c r="E52" s="41">
        <x:v>0.58333333333333337</x:v>
      </x:c>
      <x:c r="F52" s="41"/>
      <x:c r="G52" s="38" t="s">
        <x:v>185</x:v>
      </x:c>
      <x:c r="H52" s="44">
        <x:v>2</x:v>
      </x:c>
      <x:c r="I52" s="40">
        <x:v>0.83333333333333337</x:v>
      </x:c>
      <x:c r="J52" s="47"/>
      <x:c r="K52" s="43">
        <x:v>30</x:v>
      </x:c>
      <x:c r="L52" s="50">
        <x:v>45658</x:v>
      </x:c>
      <x:c r="M52" s="50"/>
      <x:c r="N52" s="38" t="s">
        <x:v>69</x:v>
      </x:c>
      <x:c r="O52" s="38" t="s">
        <x:v>187</x:v>
      </x:c>
      <x:c r="P52" s="7" t="str">
        <x:f>IF(N52&lt;&gt;"Sim","Inativa",IF(OR(A52="",B52="",C52="",D52="",G52="",L52=""),"Configuração incompleta",IF(AND(G52="Dia útil + hora",OR(H52="",I52="")),"Prazo incompleto",IF(AND(G52="Horas úteis",J52=""),"Horas úteis ausentes","Regra ativa"))))</x:f>
        <x:v>Regra ativa</x:v>
      </x:c>
      <x:c r="Q52" s="54" t="s">
        <x:v>55</x:v>
      </x:c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23.100000381469727" customHeight="1">
      <x:c r="A53" s="5" t="s">
        <x:v>99</x:v>
      </x:c>
      <x:c r="B53" s="5" t="s">
        <x:v>184</x:v>
      </x:c>
      <x:c r="C53" s="64" t="s">
        <x:v>149</x:v>
      </x:c>
      <x:c r="D53" s="64" t="s">
        <x:v>152</x:v>
      </x:c>
      <x:c r="E53" s="65"/>
      <x:c r="F53" s="65">
        <x:v>0.58333333333333337</x:v>
      </x:c>
      <x:c r="G53" s="64" t="s">
        <x:v>185</x:v>
      </x:c>
      <x:c r="H53" s="66">
        <x:v>0</x:v>
      </x:c>
      <x:c r="I53" s="65">
        <x:v>0.83333333333333337</x:v>
      </x:c>
      <x:c r="J53" s="67"/>
      <x:c r="K53" s="66">
        <x:v>30</x:v>
      </x:c>
      <x:c r="L53" s="68">
        <x:v>45658</x:v>
      </x:c>
      <x:c r="M53" s="68"/>
      <x:c r="N53" s="64" t="s">
        <x:v>69</x:v>
      </x:c>
      <x:c r="O53" s="64" t="s">
        <x:v>188</x:v>
      </x:c>
      <x:c r="P53" s="5" t="str">
        <x:f>IF(N53&lt;&gt;"Sim","Inativa",IF(OR(A53="",B53="",C53="",D53="",G53="",L53=""),"Configuração incompleta",IF(AND(G53="Dia útil + hora",OR(ISBLANK(H53),ISBLANK(I53))),"Prazo incompleto",IF(AND(G53="Horas úteis",ISBLANK(J53)),"Horas úteis ausentes","Regra ativa"))))</x:f>
        <x:v>Regra ativa</x:v>
      </x:c>
      <x:c r="Q53" s="64" t="s">
        <x:v>55</x:v>
      </x:c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23.100000381469727" customHeight="1">
      <x:c r="A54" s="6" t="s">
        <x:v>99</x:v>
      </x:c>
      <x:c r="B54" s="6" t="s">
        <x:v>184</x:v>
      </x:c>
      <x:c r="C54" s="69" t="s">
        <x:v>149</x:v>
      </x:c>
      <x:c r="D54" s="69" t="s">
        <x:v>152</x:v>
      </x:c>
      <x:c r="E54" s="70">
        <x:v>0.58333333333333337</x:v>
      </x:c>
      <x:c r="F54" s="70"/>
      <x:c r="G54" s="69" t="s">
        <x:v>185</x:v>
      </x:c>
      <x:c r="H54" s="71">
        <x:v>2</x:v>
      </x:c>
      <x:c r="I54" s="70">
        <x:v>0.83333333333333337</x:v>
      </x:c>
      <x:c r="J54" s="72"/>
      <x:c r="K54" s="71">
        <x:v>30</x:v>
      </x:c>
      <x:c r="L54" s="73">
        <x:v>45658</x:v>
      </x:c>
      <x:c r="M54" s="73"/>
      <x:c r="N54" s="69" t="s">
        <x:v>69</x:v>
      </x:c>
      <x:c r="O54" s="69" t="s">
        <x:v>189</x:v>
      </x:c>
      <x:c r="P54" s="6" t="str">
        <x:f>IF(N54&lt;&gt;"Sim","Inativa",IF(OR(A54="",B54="",C54="",D54="",G54="",L54=""),"Configuração incompleta",IF(AND(G54="Dia útil + hora",OR(ISBLANK(H54),ISBLANK(I54))),"Prazo incompleto",IF(AND(G54="Horas úteis",ISBLANK(J54)),"Horas úteis ausentes","Regra ativa"))))</x:f>
        <x:v>Regra ativa</x:v>
      </x:c>
      <x:c r="Q54" s="69" t="s">
        <x:v>55</x:v>
      </x:c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P2"/>
    <x:mergeCell ref="A3:P3"/>
  </x:mergeCells>
  <x:conditionalFormatting sqref="P7:P54">
    <x:cfRule type="containsText" dxfId="1" priority="1" operator="containsText" text="Regra ativa"/>
    <x:cfRule type="containsText" dxfId="0" priority="2" operator="containsText" text="incompleta"/>
  </x:conditionalFormatting>
  <x:dataValidations count="3">
    <x:dataValidation type="list" sqref="C7:D54">
      <x:formula1>"Creation,Released,Allocated,In Progress,Picked,Packed,Ready to Load,Complete,Shipped"</x:formula1>
    </x:dataValidation>
    <x:dataValidation type="list" sqref="G7:G54">
      <x:formula1>"Dia útil + hora,Horas úteis"</x:formula1>
    </x:dataValidation>
    <x:dataValidation type="list" sqref="N7:N54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a875cc275d4309"/>
  </x:tableParts>
</x:worksheet>
</file>

<file path=xl/worksheets/sheet8.xml><?xml version="1.0" encoding="utf-8"?>
<x:worksheet xmlns:x="http://schemas.openxmlformats.org/spreadsheetml/2006/main">
  <x:sheetPr>
    <x:tabColor rgb="FF7A5AF8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4" customWidth="1"/>
    <x:col min="2" max="2" width="20" customWidth="1"/>
    <x:col min="3" max="3" width="14" customWidth="1"/>
    <x:col min="4" max="4" width="10" customWidth="1"/>
    <x:col min="5" max="5" width="20" customWidth="1"/>
    <x:col min="6" max="6" width="18" customWidth="1"/>
    <x:col min="7" max="7" width="48" customWidth="1"/>
    <x:col min="8" max="8" width="14" customWidth="1"/>
  </x:cols>
  <x:sheetData>
    <x:row r="2" ht="19.5">
      <x:c r="A2" s="86" t="s">
        <x:v>190</x:v>
      </x:c>
      <x:c r="B2" s="89"/>
      <x:c r="C2" s="89"/>
      <x:c r="D2" s="89"/>
      <x:c r="E2" s="89"/>
      <x:c r="F2" s="89"/>
      <x:c r="G2" s="89"/>
      <x:c r="H2" s="89"/>
    </x:row>
    <x:row r="3">
      <x:c r="A3" s="88" t="s">
        <x:v>191</x:v>
      </x:c>
      <x:c r="B3" s="89"/>
      <x:c r="C3" s="89"/>
      <x:c r="D3" s="89"/>
      <x:c r="E3" s="89"/>
      <x:c r="F3" s="89"/>
      <x:c r="G3" s="89"/>
      <x:c r="H3" s="89"/>
    </x:row>
    <x:row r="6" ht="36" customHeight="1">
      <x:c r="A6" s="55" t="s">
        <x:v>41</x:v>
      </x:c>
      <x:c r="B6" s="56" t="s">
        <x:v>192</x:v>
      </x:c>
      <x:c r="C6" s="56" t="s">
        <x:v>193</x:v>
      </x:c>
      <x:c r="D6" s="56" t="s">
        <x:v>47</x:v>
      </x:c>
      <x:c r="E6" s="56" t="s">
        <x:v>194</x:v>
      </x:c>
      <x:c r="F6" s="56" t="s">
        <x:v>195</x:v>
      </x:c>
      <x:c r="G6" s="56" t="s">
        <x:v>49</x:v>
      </x:c>
      <x:c r="H6" s="57" t="s">
        <x:v>146</x:v>
      </x:c>
    </x:row>
    <x:row r="7" ht="23.100000381469727" customHeight="1">
      <x:c r="A7" s="5" t="s">
        <x:v>52</x:v>
      </x:c>
      <x:c r="B7" s="52" t="s">
        <x:v>196</x:v>
      </x:c>
      <x:c r="C7" s="59">
        <x:v>46176</x:v>
      </x:c>
      <x:c r="D7" s="52" t="s">
        <x:v>69</x:v>
      </x:c>
      <x:c r="E7" s="52" t="s">
        <x:v>197</x:v>
      </x:c>
      <x:c r="F7" s="52" t="s">
        <x:v>69</x:v>
      </x:c>
      <x:c r="G7" s="52" t="s">
        <x:v>198</x:v>
      </x:c>
      <x:c r="H7" s="5" t="s">
        <x:v>199</x:v>
      </x:c>
    </x:row>
    <x:row r="8" ht="23.100000381469727" customHeight="1">
      <x:c r="A8" s="6" t="s">
        <x:v>56</x:v>
      </x:c>
      <x:c r="B8" s="53" t="s">
        <x:v>200</x:v>
      </x:c>
      <x:c r="C8" s="60">
        <x:v>46153</x:v>
      </x:c>
      <x:c r="D8" s="53" t="s">
        <x:v>69</x:v>
      </x:c>
      <x:c r="E8" s="53" t="s">
        <x:v>201</x:v>
      </x:c>
      <x:c r="F8" s="53" t="s">
        <x:v>69</x:v>
      </x:c>
      <x:c r="G8" s="53" t="s">
        <x:v>202</x:v>
      </x:c>
      <x:c r="H8" s="6" t="s">
        <x:v>199</x:v>
      </x:c>
    </x:row>
    <x:row r="9" ht="23.100000381469727" customHeight="1">
      <x:c r="A9" s="6" t="s">
        <x:v>58</x:v>
      </x:c>
      <x:c r="B9" s="53" t="s">
        <x:v>203</x:v>
      </x:c>
      <x:c r="C9" s="60">
        <x:v>46188</x:v>
      </x:c>
      <x:c r="D9" s="53" t="s">
        <x:v>69</x:v>
      </x:c>
      <x:c r="E9" s="53" t="s">
        <x:v>204</x:v>
      </x:c>
      <x:c r="F9" s="53" t="s">
        <x:v>69</x:v>
      </x:c>
      <x:c r="G9" s="53" t="s">
        <x:v>205</x:v>
      </x:c>
      <x:c r="H9" s="6" t="s">
        <x:v>199</x:v>
      </x:c>
    </x:row>
    <x:row r="10" ht="23.100000381469727" customHeight="1">
      <x:c r="A10" s="6" t="s">
        <x:v>62</x:v>
      </x:c>
      <x:c r="B10" s="53" t="s">
        <x:v>206</x:v>
      </x:c>
      <x:c r="C10" s="60">
        <x:v>46182</x:v>
      </x:c>
      <x:c r="D10" s="53" t="s">
        <x:v>69</x:v>
      </x:c>
      <x:c r="E10" s="53" t="s">
        <x:v>207</x:v>
      </x:c>
      <x:c r="F10" s="53" t="s">
        <x:v>69</x:v>
      </x:c>
      <x:c r="G10" s="53" t="s">
        <x:v>205</x:v>
      </x:c>
      <x:c r="H10" s="6" t="s">
        <x:v>199</x:v>
      </x:c>
    </x:row>
    <x:row r="11" ht="23.100000381469727" customHeight="1">
      <x:c r="A11" s="6" t="s">
        <x:v>66</x:v>
      </x:c>
      <x:c r="B11" s="53" t="s">
        <x:v>208</x:v>
      </x:c>
      <x:c r="C11" s="60">
        <x:v>46170</x:v>
      </x:c>
      <x:c r="D11" s="53" t="s">
        <x:v>69</x:v>
      </x:c>
      <x:c r="E11" s="53" t="s">
        <x:v>209</x:v>
      </x:c>
      <x:c r="F11" s="53" t="s">
        <x:v>69</x:v>
      </x:c>
      <x:c r="G11" s="53" t="s">
        <x:v>205</x:v>
      </x:c>
      <x:c r="H11" s="6" t="s">
        <x:v>199</x:v>
      </x:c>
    </x:row>
    <x:row r="12" ht="23.100000381469727" customHeight="1">
      <x:c r="A12" s="6" t="s">
        <x:v>68</x:v>
      </x:c>
      <x:c r="B12" s="53" t="s">
        <x:v>210</x:v>
      </x:c>
      <x:c r="C12" s="60">
        <x:v>46176</x:v>
      </x:c>
      <x:c r="D12" s="53" t="s">
        <x:v>69</x:v>
      </x:c>
      <x:c r="E12" s="53" t="s">
        <x:v>211</x:v>
      </x:c>
      <x:c r="F12" s="53" t="s">
        <x:v>69</x:v>
      </x:c>
      <x:c r="G12" s="53" t="s">
        <x:v>205</x:v>
      </x:c>
      <x:c r="H12" s="6" t="s">
        <x:v>199</x:v>
      </x:c>
    </x:row>
    <x:row r="13" ht="23.100000381469727" customHeight="1">
      <x:c r="A13" s="6" t="s">
        <x:v>74</x:v>
      </x:c>
      <x:c r="B13" s="53" t="s">
        <x:v>212</x:v>
      </x:c>
      <x:c r="C13" s="60">
        <x:v>46175</x:v>
      </x:c>
      <x:c r="D13" s="53" t="s">
        <x:v>69</x:v>
      </x:c>
      <x:c r="E13" s="53" t="s">
        <x:v>213</x:v>
      </x:c>
      <x:c r="F13" s="53" t="s">
        <x:v>69</x:v>
      </x:c>
      <x:c r="G13" s="53" t="s">
        <x:v>205</x:v>
      </x:c>
      <x:c r="H13" s="6" t="s">
        <x:v>199</x:v>
      </x:c>
    </x:row>
    <x:row r="14" ht="23.100000381469727" customHeight="1">
      <x:c r="A14" s="6" t="s">
        <x:v>78</x:v>
      </x:c>
      <x:c r="B14" s="53" t="s">
        <x:v>214</x:v>
      </x:c>
      <x:c r="C14" s="60">
        <x:v>46171</x:v>
      </x:c>
      <x:c r="D14" s="53" t="s">
        <x:v>69</x:v>
      </x:c>
      <x:c r="E14" s="53" t="s">
        <x:v>215</x:v>
      </x:c>
      <x:c r="F14" s="53" t="s">
        <x:v>69</x:v>
      </x:c>
      <x:c r="G14" s="53" t="s">
        <x:v>205</x:v>
      </x:c>
      <x:c r="H14" s="6" t="s">
        <x:v>199</x:v>
      </x:c>
    </x:row>
    <x:row r="15" ht="23.100000381469727" customHeight="1">
      <x:c r="A15" s="6" t="s">
        <x:v>82</x:v>
      </x:c>
      <x:c r="B15" s="53" t="s">
        <x:v>216</x:v>
      </x:c>
      <x:c r="C15" s="60">
        <x:v>46184</x:v>
      </x:c>
      <x:c r="D15" s="53" t="s">
        <x:v>69</x:v>
      </x:c>
      <x:c r="E15" s="53" t="s">
        <x:v>217</x:v>
      </x:c>
      <x:c r="F15" s="53" t="s">
        <x:v>69</x:v>
      </x:c>
      <x:c r="G15" s="53" t="s">
        <x:v>205</x:v>
      </x:c>
      <x:c r="H15" s="6" t="s">
        <x:v>199</x:v>
      </x:c>
    </x:row>
    <x:row r="16" ht="23.100000381469727" customHeight="1">
      <x:c r="A16" s="6" t="s">
        <x:v>84</x:v>
      </x:c>
      <x:c r="B16" s="53" t="s">
        <x:v>218</x:v>
      </x:c>
      <x:c r="C16" s="60">
        <x:v>46157</x:v>
      </x:c>
      <x:c r="D16" s="53" t="s">
        <x:v>69</x:v>
      </x:c>
      <x:c r="E16" s="53" t="s">
        <x:v>219</x:v>
      </x:c>
      <x:c r="F16" s="53" t="s">
        <x:v>69</x:v>
      </x:c>
      <x:c r="G16" s="53" t="s">
        <x:v>205</x:v>
      </x:c>
      <x:c r="H16" s="6" t="s">
        <x:v>199</x:v>
      </x:c>
    </x:row>
    <x:row r="17" ht="23.100000381469727" customHeight="1">
      <x:c r="A17" s="6" t="s">
        <x:v>88</x:v>
      </x:c>
      <x:c r="B17" s="53" t="s">
        <x:v>220</x:v>
      </x:c>
      <x:c r="C17" s="60">
        <x:v>46188</x:v>
      </x:c>
      <x:c r="D17" s="53" t="s">
        <x:v>69</x:v>
      </x:c>
      <x:c r="E17" s="53" t="s">
        <x:v>221</x:v>
      </x:c>
      <x:c r="F17" s="53" t="s">
        <x:v>69</x:v>
      </x:c>
      <x:c r="G17" s="53" t="s">
        <x:v>205</x:v>
      </x:c>
      <x:c r="H17" s="6" t="s">
        <x:v>199</x:v>
      </x:c>
    </x:row>
    <x:row r="18" ht="23.100000381469727" customHeight="1">
      <x:c r="A18" s="6" t="s">
        <x:v>90</x:v>
      </x:c>
      <x:c r="B18" s="53" t="s">
        <x:v>222</x:v>
      </x:c>
      <x:c r="C18" s="60">
        <x:v>46113</x:v>
      </x:c>
      <x:c r="D18" s="53" t="s">
        <x:v>69</x:v>
      </x:c>
      <x:c r="E18" s="53" t="s">
        <x:v>223</x:v>
      </x:c>
      <x:c r="F18" s="53" t="s">
        <x:v>69</x:v>
      </x:c>
      <x:c r="G18" s="53" t="s">
        <x:v>205</x:v>
      </x:c>
      <x:c r="H18" s="6" t="s">
        <x:v>199</x:v>
      </x:c>
    </x:row>
    <x:row r="19" ht="23.100000381469727" customHeight="1">
      <x:c r="A19" s="6" t="s">
        <x:v>92</x:v>
      </x:c>
      <x:c r="B19" s="53" t="s">
        <x:v>224</x:v>
      </x:c>
      <x:c r="C19" s="60">
        <x:v>46185</x:v>
      </x:c>
      <x:c r="D19" s="53" t="s">
        <x:v>69</x:v>
      </x:c>
      <x:c r="E19" s="53" t="s">
        <x:v>225</x:v>
      </x:c>
      <x:c r="F19" s="53" t="s">
        <x:v>69</x:v>
      </x:c>
      <x:c r="G19" s="53" t="s">
        <x:v>205</x:v>
      </x:c>
      <x:c r="H19" s="6" t="s">
        <x:v>199</x:v>
      </x:c>
    </x:row>
    <x:row r="20" ht="23.100000381469727" customHeight="1">
      <x:c r="A20" s="6" t="s">
        <x:v>94</x:v>
      </x:c>
      <x:c r="B20" s="53" t="s">
        <x:v>226</x:v>
      </x:c>
      <x:c r="C20" s="60">
        <x:v>46049</x:v>
      </x:c>
      <x:c r="D20" s="53" t="s">
        <x:v>69</x:v>
      </x:c>
      <x:c r="E20" s="53" t="s">
        <x:v>227</x:v>
      </x:c>
      <x:c r="F20" s="53" t="s">
        <x:v>69</x:v>
      </x:c>
      <x:c r="G20" s="53" t="s">
        <x:v>205</x:v>
      </x:c>
      <x:c r="H20" s="6" t="s">
        <x:v>199</x:v>
      </x:c>
    </x:row>
    <x:row r="21" ht="23.100000381469727" customHeight="1">
      <x:c r="A21" s="7" t="s">
        <x:v>97</x:v>
      </x:c>
      <x:c r="B21" s="54" t="s">
        <x:v>228</x:v>
      </x:c>
      <x:c r="C21" s="61">
        <x:v>46181</x:v>
      </x:c>
      <x:c r="D21" s="54" t="s">
        <x:v>69</x:v>
      </x:c>
      <x:c r="E21" s="54" t="s">
        <x:v>229</x:v>
      </x:c>
      <x:c r="F21" s="54" t="s">
        <x:v>69</x:v>
      </x:c>
      <x:c r="G21" s="54" t="s">
        <x:v>205</x:v>
      </x:c>
      <x:c r="H21" s="7" t="s">
        <x:v>199</x:v>
      </x:c>
    </x:row>
    <x:row r="22" ht="23.100000381469727" customHeight="1">
      <x:c r="A22" s="58" t="s">
        <x:v>99</x:v>
      </x:c>
      <x:c r="B22" s="62" t="s">
        <x:v>230</x:v>
      </x:c>
      <x:c r="C22" s="63">
        <x:v>46253</x:v>
      </x:c>
      <x:c r="D22" s="62" t="s">
        <x:v>69</x:v>
      </x:c>
      <x:c r="E22" s="62" t="s">
        <x:v>231</x:v>
      </x:c>
      <x:c r="F22" s="62" t="s">
        <x:v>69</x:v>
      </x:c>
      <x:c r="G22" s="62" t="s">
        <x:v>205</x:v>
      </x:c>
      <x:c r="H22" s="58" t="s">
        <x:v>199</x:v>
      </x:c>
    </x:row>
  </x:sheetData>
  <x:mergeCells>
    <x:mergeCell ref="A2:H2"/>
    <x:mergeCell ref="A3:H3"/>
  </x:mergeCells>
  <x:dataValidations count="1">
    <x:dataValidation type="list" sqref="D7:D22 F7:F22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63f920843d46c7"/>
  </x:tableParts>
</x:worksheet>
</file>

<file path=xl/worksheets/sheet9.xml><?xml version="1.0" encoding="utf-8"?>
<x:worksheet xmlns:x="http://schemas.openxmlformats.org/spreadsheetml/2006/main">
  <x:sheetPr>
    <x:tabColor rgb="FF7A5AF8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4" customWidth="1"/>
    <x:col min="2" max="2" width="20" customWidth="1"/>
    <x:col min="3" max="3" width="16" customWidth="1"/>
    <x:col min="4" max="4" width="18" customWidth="1"/>
    <x:col min="5" max="5" width="10" customWidth="1"/>
    <x:col min="6" max="6" width="34" customWidth="1"/>
  </x:cols>
  <x:sheetData>
    <x:row r="2" ht="19.5">
      <x:c r="A2" s="86" t="s">
        <x:v>232</x:v>
      </x:c>
      <x:c r="B2" s="89"/>
      <x:c r="C2" s="89"/>
      <x:c r="D2" s="89"/>
      <x:c r="E2" s="89"/>
      <x:c r="F2" s="89"/>
    </x:row>
    <x:row r="3">
      <x:c r="A3" s="88" t="s">
        <x:v>233</x:v>
      </x:c>
      <x:c r="B3" s="89"/>
      <x:c r="C3" s="89"/>
      <x:c r="D3" s="89"/>
      <x:c r="E3" s="89"/>
      <x:c r="F3" s="89"/>
    </x:row>
    <x:row r="6" ht="36" customHeight="1">
      <x:c r="A6" s="55" t="s">
        <x:v>41</x:v>
      </x:c>
      <x:c r="B6" s="56" t="s">
        <x:v>234</x:v>
      </x:c>
      <x:c r="C6" s="56" t="s">
        <x:v>51</x:v>
      </x:c>
      <x:c r="D6" s="56" t="s">
        <x:v>235</x:v>
      </x:c>
      <x:c r="E6" s="56" t="s">
        <x:v>47</x:v>
      </x:c>
      <x:c r="F6" s="57" t="s">
        <x:v>49</x:v>
      </x:c>
    </x:row>
    <x:row r="7" ht="23.100000381469727" customHeight="1">
      <x:c r="A7" s="52" t="s">
        <x:v>52</x:v>
      </x:c>
      <x:c r="B7" s="52" t="s">
        <x:v>236</x:v>
      </x:c>
      <x:c r="C7" s="52" t="s">
        <x:v>236</x:v>
      </x:c>
      <x:c r="D7" s="52" t="s">
        <x:v>237</x:v>
      </x:c>
      <x:c r="E7" s="52" t="s">
        <x:v>69</x:v>
      </x:c>
      <x:c r="F7" s="5" t="s">
        <x:v>238</x:v>
      </x:c>
    </x:row>
    <x:row r="8" ht="23.100000381469727" customHeight="1">
      <x:c r="A8" s="53" t="s">
        <x:v>52</x:v>
      </x:c>
      <x:c r="B8" s="53" t="s">
        <x:v>239</x:v>
      </x:c>
      <x:c r="C8" s="53" t="s">
        <x:v>239</x:v>
      </x:c>
      <x:c r="D8" s="53" t="s">
        <x:v>240</x:v>
      </x:c>
      <x:c r="E8" s="53" t="s">
        <x:v>69</x:v>
      </x:c>
      <x:c r="F8" s="6" t="s">
        <x:v>238</x:v>
      </x:c>
    </x:row>
    <x:row r="9" ht="23.100000381469727" customHeight="1">
      <x:c r="A9" s="53" t="s">
        <x:v>56</x:v>
      </x:c>
      <x:c r="B9" s="53" t="s">
        <x:v>241</x:v>
      </x:c>
      <x:c r="C9" s="53" t="s">
        <x:v>242</x:v>
      </x:c>
      <x:c r="D9" s="53" t="s">
        <x:v>243</x:v>
      </x:c>
      <x:c r="E9" s="53" t="s">
        <x:v>69</x:v>
      </x:c>
      <x:c r="F9" s="6" t="s">
        <x:v>244</x:v>
      </x:c>
    </x:row>
    <x:row r="10" ht="23.100000381469727" customHeight="1">
      <x:c r="A10" s="53" t="s">
        <x:v>56</x:v>
      </x:c>
      <x:c r="B10" s="53" t="s">
        <x:v>245</x:v>
      </x:c>
      <x:c r="C10" s="53" t="s">
        <x:v>246</x:v>
      </x:c>
      <x:c r="D10" s="53" t="s">
        <x:v>247</x:v>
      </x:c>
      <x:c r="E10" s="53" t="s">
        <x:v>69</x:v>
      </x:c>
      <x:c r="F10" s="6" t="s">
        <x:v>248</x:v>
      </x:c>
    </x:row>
    <x:row r="11" ht="23.100000381469727" customHeight="1">
      <x:c r="A11" s="53" t="s">
        <x:v>58</x:v>
      </x:c>
      <x:c r="B11" s="53" t="s">
        <x:v>204</x:v>
      </x:c>
      <x:c r="C11" s="53" t="s">
        <x:v>249</x:v>
      </x:c>
      <x:c r="D11" s="53" t="s">
        <x:v>250</x:v>
      </x:c>
      <x:c r="E11" s="53" t="s">
        <x:v>69</x:v>
      </x:c>
      <x:c r="F11" s="6" t="s">
        <x:v>251</x:v>
      </x:c>
    </x:row>
    <x:row r="12" ht="23.100000381469727" customHeight="1">
      <x:c r="A12" s="53" t="s">
        <x:v>62</x:v>
      </x:c>
      <x:c r="B12" s="53" t="s">
        <x:v>207</x:v>
      </x:c>
      <x:c r="C12" s="53" t="s">
        <x:v>249</x:v>
      </x:c>
      <x:c r="D12" s="53" t="s">
        <x:v>250</x:v>
      </x:c>
      <x:c r="E12" s="53" t="s">
        <x:v>69</x:v>
      </x:c>
      <x:c r="F12" s="6" t="s">
        <x:v>251</x:v>
      </x:c>
    </x:row>
    <x:row r="13" ht="23.100000381469727" customHeight="1">
      <x:c r="A13" s="53" t="s">
        <x:v>66</x:v>
      </x:c>
      <x:c r="B13" s="53" t="s">
        <x:v>209</x:v>
      </x:c>
      <x:c r="C13" s="53" t="s">
        <x:v>249</x:v>
      </x:c>
      <x:c r="D13" s="53" t="s">
        <x:v>250</x:v>
      </x:c>
      <x:c r="E13" s="53" t="s">
        <x:v>69</x:v>
      </x:c>
      <x:c r="F13" s="6" t="s">
        <x:v>251</x:v>
      </x:c>
    </x:row>
    <x:row r="14" ht="23.100000381469727" customHeight="1">
      <x:c r="A14" s="53" t="s">
        <x:v>68</x:v>
      </x:c>
      <x:c r="B14" s="53" t="s">
        <x:v>211</x:v>
      </x:c>
      <x:c r="C14" s="53" t="s">
        <x:v>249</x:v>
      </x:c>
      <x:c r="D14" s="53" t="s">
        <x:v>250</x:v>
      </x:c>
      <x:c r="E14" s="53" t="s">
        <x:v>69</x:v>
      </x:c>
      <x:c r="F14" s="6" t="s">
        <x:v>251</x:v>
      </x:c>
    </x:row>
    <x:row r="15" ht="23.100000381469727" customHeight="1">
      <x:c r="A15" s="53" t="s">
        <x:v>74</x:v>
      </x:c>
      <x:c r="B15" s="53" t="s">
        <x:v>213</x:v>
      </x:c>
      <x:c r="C15" s="53" t="s">
        <x:v>249</x:v>
      </x:c>
      <x:c r="D15" s="53" t="s">
        <x:v>250</x:v>
      </x:c>
      <x:c r="E15" s="53" t="s">
        <x:v>69</x:v>
      </x:c>
      <x:c r="F15" s="6" t="s">
        <x:v>251</x:v>
      </x:c>
    </x:row>
    <x:row r="16" ht="23.100000381469727" customHeight="1">
      <x:c r="A16" s="53" t="s">
        <x:v>78</x:v>
      </x:c>
      <x:c r="B16" s="53" t="s">
        <x:v>215</x:v>
      </x:c>
      <x:c r="C16" s="53" t="s">
        <x:v>249</x:v>
      </x:c>
      <x:c r="D16" s="53" t="s">
        <x:v>250</x:v>
      </x:c>
      <x:c r="E16" s="53" t="s">
        <x:v>69</x:v>
      </x:c>
      <x:c r="F16" s="6" t="s">
        <x:v>251</x:v>
      </x:c>
    </x:row>
    <x:row r="17" ht="23.100000381469727" customHeight="1">
      <x:c r="A17" s="53" t="s">
        <x:v>82</x:v>
      </x:c>
      <x:c r="B17" s="53" t="s">
        <x:v>217</x:v>
      </x:c>
      <x:c r="C17" s="53" t="s">
        <x:v>249</x:v>
      </x:c>
      <x:c r="D17" s="53" t="s">
        <x:v>250</x:v>
      </x:c>
      <x:c r="E17" s="53" t="s">
        <x:v>69</x:v>
      </x:c>
      <x:c r="F17" s="6" t="s">
        <x:v>251</x:v>
      </x:c>
    </x:row>
    <x:row r="18" ht="23.100000381469727" customHeight="1">
      <x:c r="A18" s="53" t="s">
        <x:v>84</x:v>
      </x:c>
      <x:c r="B18" s="53" t="s">
        <x:v>219</x:v>
      </x:c>
      <x:c r="C18" s="53" t="s">
        <x:v>249</x:v>
      </x:c>
      <x:c r="D18" s="53" t="s">
        <x:v>250</x:v>
      </x:c>
      <x:c r="E18" s="53" t="s">
        <x:v>69</x:v>
      </x:c>
      <x:c r="F18" s="6" t="s">
        <x:v>251</x:v>
      </x:c>
    </x:row>
    <x:row r="19" ht="23.100000381469727" customHeight="1">
      <x:c r="A19" s="53" t="s">
        <x:v>88</x:v>
      </x:c>
      <x:c r="B19" s="53" t="s">
        <x:v>221</x:v>
      </x:c>
      <x:c r="C19" s="53" t="s">
        <x:v>249</x:v>
      </x:c>
      <x:c r="D19" s="53" t="s">
        <x:v>250</x:v>
      </x:c>
      <x:c r="E19" s="53" t="s">
        <x:v>69</x:v>
      </x:c>
      <x:c r="F19" s="6" t="s">
        <x:v>251</x:v>
      </x:c>
    </x:row>
    <x:row r="20" ht="23.100000381469727" customHeight="1">
      <x:c r="A20" s="53" t="s">
        <x:v>90</x:v>
      </x:c>
      <x:c r="B20" s="53" t="s">
        <x:v>223</x:v>
      </x:c>
      <x:c r="C20" s="53" t="s">
        <x:v>249</x:v>
      </x:c>
      <x:c r="D20" s="53" t="s">
        <x:v>250</x:v>
      </x:c>
      <x:c r="E20" s="53" t="s">
        <x:v>69</x:v>
      </x:c>
      <x:c r="F20" s="6" t="s">
        <x:v>251</x:v>
      </x:c>
    </x:row>
    <x:row r="21" ht="23.100000381469727" customHeight="1">
      <x:c r="A21" s="53" t="s">
        <x:v>92</x:v>
      </x:c>
      <x:c r="B21" s="53" t="s">
        <x:v>225</x:v>
      </x:c>
      <x:c r="C21" s="53" t="s">
        <x:v>249</x:v>
      </x:c>
      <x:c r="D21" s="53" t="s">
        <x:v>250</x:v>
      </x:c>
      <x:c r="E21" s="53" t="s">
        <x:v>69</x:v>
      </x:c>
      <x:c r="F21" s="6" t="s">
        <x:v>251</x:v>
      </x:c>
    </x:row>
    <x:row r="22" ht="23.100000381469727" customHeight="1">
      <x:c r="A22" s="53" t="s">
        <x:v>94</x:v>
      </x:c>
      <x:c r="B22" s="53" t="s">
        <x:v>227</x:v>
      </x:c>
      <x:c r="C22" s="53" t="s">
        <x:v>249</x:v>
      </x:c>
      <x:c r="D22" s="53" t="s">
        <x:v>250</x:v>
      </x:c>
      <x:c r="E22" s="53" t="s">
        <x:v>69</x:v>
      </x:c>
      <x:c r="F22" s="6" t="s">
        <x:v>251</x:v>
      </x:c>
    </x:row>
    <x:row r="23" ht="23.100000381469727" customHeight="1">
      <x:c r="A23" s="54" t="s">
        <x:v>97</x:v>
      </x:c>
      <x:c r="B23" s="54" t="s">
        <x:v>229</x:v>
      </x:c>
      <x:c r="C23" s="54" t="s">
        <x:v>249</x:v>
      </x:c>
      <x:c r="D23" s="54" t="s">
        <x:v>250</x:v>
      </x:c>
      <x:c r="E23" s="54" t="s">
        <x:v>69</x:v>
      </x:c>
      <x:c r="F23" s="7" t="s">
        <x:v>251</x:v>
      </x:c>
    </x:row>
    <x:row r="24" ht="23.100000381469727" customHeight="1">
      <x:c r="A24" s="62" t="s">
        <x:v>99</x:v>
      </x:c>
      <x:c r="B24" s="62" t="s">
        <x:v>231</x:v>
      </x:c>
      <x:c r="C24" s="62" t="s">
        <x:v>249</x:v>
      </x:c>
      <x:c r="D24" s="62" t="s">
        <x:v>250</x:v>
      </x:c>
      <x:c r="E24" s="62" t="s">
        <x:v>69</x:v>
      </x:c>
      <x:c r="F24" s="58" t="s">
        <x:v>251</x:v>
      </x:c>
    </x:row>
  </x:sheetData>
  <x:mergeCells>
    <x:mergeCell ref="A2:F2"/>
    <x:mergeCell ref="A3:F3"/>
  </x:mergeCells>
  <x:dataValidations count="1">
    <x:dataValidation type="list" sqref="E7:E24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5810c3f9ca4d18"/>
  </x:tableParts>
</x:worksheet>
</file>

<file path=xl/worksheets/sheet10.xml><?xml version="1.0" encoding="utf-8"?>
<x:worksheet xmlns:x="http://schemas.openxmlformats.org/spreadsheetml/2006/main">
  <x:sheetPr>
    <x:tabColor rgb="FF7A5AF8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1" width="14" customWidth="1"/>
    <x:col min="2" max="2" width="26" customWidth="1"/>
    <x:col min="3" max="3" width="14" customWidth="1"/>
    <x:col min="4" max="4" width="10" customWidth="1"/>
    <x:col min="5" max="5" width="20" customWidth="1"/>
    <x:col min="6" max="6" width="18" customWidth="1"/>
    <x:col min="7" max="7" width="36" customWidth="1"/>
    <x:col min="8" max="8" width="14" customWidth="1"/>
  </x:cols>
  <x:sheetData>
    <x:row r="2" ht="19.5">
      <x:c r="A2" s="86" t="s">
        <x:v>252</x:v>
      </x:c>
      <x:c r="B2" s="89"/>
      <x:c r="C2" s="89"/>
      <x:c r="D2" s="89"/>
      <x:c r="E2" s="89"/>
      <x:c r="F2" s="89"/>
      <x:c r="G2" s="89"/>
      <x:c r="H2" s="89"/>
    </x:row>
    <x:row r="3">
      <x:c r="A3" s="88" t="s">
        <x:v>253</x:v>
      </x:c>
      <x:c r="B3" s="89"/>
      <x:c r="C3" s="89"/>
      <x:c r="D3" s="89"/>
      <x:c r="E3" s="89"/>
      <x:c r="F3" s="89"/>
      <x:c r="G3" s="89"/>
      <x:c r="H3" s="89"/>
    </x:row>
    <x:row r="6" ht="36" customHeight="1">
      <x:c r="A6" s="74" t="s">
        <x:v>41</x:v>
      </x:c>
      <x:c r="B6" s="75" t="s">
        <x:v>192</x:v>
      </x:c>
      <x:c r="C6" s="75" t="s">
        <x:v>193</x:v>
      </x:c>
      <x:c r="D6" s="75" t="s">
        <x:v>47</x:v>
      </x:c>
      <x:c r="E6" s="75" t="s">
        <x:v>194</x:v>
      </x:c>
      <x:c r="F6" s="75" t="s">
        <x:v>195</x:v>
      </x:c>
      <x:c r="G6" s="75" t="s">
        <x:v>49</x:v>
      </x:c>
      <x:c r="H6" s="76" t="s">
        <x:v>146</x:v>
      </x:c>
    </x:row>
    <x:row r="7" ht="23.100000381469727" customHeight="1">
      <x:c r="A7" s="5" t="s">
        <x:v>52</x:v>
      </x:c>
      <x:c r="B7" s="77" t="s">
        <x:v>254</x:v>
      </x:c>
      <x:c r="C7" s="80">
        <x:v>46237</x:v>
      </x:c>
      <x:c r="D7" s="77" t="s">
        <x:v>69</x:v>
      </x:c>
      <x:c r="E7" s="77" t="s">
        <x:v>197</x:v>
      </x:c>
      <x:c r="F7" s="77" t="s">
        <x:v>69</x:v>
      </x:c>
      <x:c r="G7" s="77" t="s">
        <x:v>255</x:v>
      </x:c>
      <x:c r="H7" s="5" t="s">
        <x:v>199</x:v>
      </x:c>
    </x:row>
    <x:row r="8" ht="23.100000381469727" customHeight="1">
      <x:c r="A8" s="6" t="s">
        <x:v>256</x:v>
      </x:c>
      <x:c r="B8" s="78" t="s">
        <x:v>254</x:v>
      </x:c>
      <x:c r="C8" s="81">
        <x:v>46239</x:v>
      </x:c>
      <x:c r="D8" s="78" t="s">
        <x:v>69</x:v>
      </x:c>
      <x:c r="E8" s="78" t="s">
        <x:v>257</x:v>
      </x:c>
      <x:c r="F8" s="78" t="s">
        <x:v>69</x:v>
      </x:c>
      <x:c r="G8" s="78" t="s">
        <x:v>255</x:v>
      </x:c>
      <x:c r="H8" s="6" t="s">
        <x:v>199</x:v>
      </x:c>
    </x:row>
    <x:row r="9" ht="23.100000381469727" customHeight="1">
      <x:c r="A9" s="6" t="s">
        <x:v>56</x:v>
      </x:c>
      <x:c r="B9" s="78" t="s">
        <x:v>254</x:v>
      </x:c>
      <x:c r="C9" s="81">
        <x:v>46190</x:v>
      </x:c>
      <x:c r="D9" s="78" t="s">
        <x:v>69</x:v>
      </x:c>
      <x:c r="E9" s="78" t="s">
        <x:v>201</x:v>
      </x:c>
      <x:c r="F9" s="78" t="s">
        <x:v>69</x:v>
      </x:c>
      <x:c r="G9" s="78" t="s">
        <x:v>255</x:v>
      </x:c>
      <x:c r="H9" s="6" t="s">
        <x:v>199</x:v>
      </x:c>
    </x:row>
    <x:row r="10" ht="23.100000381469727" customHeight="1">
      <x:c r="A10" s="6" t="s">
        <x:v>58</x:v>
      </x:c>
      <x:c r="B10" s="78" t="s">
        <x:v>254</x:v>
      </x:c>
      <x:c r="C10" s="81">
        <x:v>46190</x:v>
      </x:c>
      <x:c r="D10" s="78" t="s">
        <x:v>69</x:v>
      </x:c>
      <x:c r="E10" s="78" t="s">
        <x:v>204</x:v>
      </x:c>
      <x:c r="F10" s="78" t="s">
        <x:v>69</x:v>
      </x:c>
      <x:c r="G10" s="78" t="s">
        <x:v>255</x:v>
      </x:c>
      <x:c r="H10" s="6" t="s">
        <x:v>199</x:v>
      </x:c>
    </x:row>
    <x:row r="11" ht="23.100000381469727" customHeight="1">
      <x:c r="A11" s="6" t="s">
        <x:v>62</x:v>
      </x:c>
      <x:c r="B11" s="78" t="s">
        <x:v>254</x:v>
      </x:c>
      <x:c r="C11" s="81">
        <x:v>46183</x:v>
      </x:c>
      <x:c r="D11" s="78" t="s">
        <x:v>69</x:v>
      </x:c>
      <x:c r="E11" s="78" t="s">
        <x:v>207</x:v>
      </x:c>
      <x:c r="F11" s="78" t="s">
        <x:v>69</x:v>
      </x:c>
      <x:c r="G11" s="78" t="s">
        <x:v>255</x:v>
      </x:c>
      <x:c r="H11" s="6" t="s">
        <x:v>199</x:v>
      </x:c>
    </x:row>
    <x:row r="12" ht="23.100000381469727" customHeight="1">
      <x:c r="A12" s="6" t="s">
        <x:v>64</x:v>
      </x:c>
      <x:c r="B12" s="78" t="s">
        <x:v>254</x:v>
      </x:c>
      <x:c r="C12" s="81">
        <x:v>46175</x:v>
      </x:c>
      <x:c r="D12" s="78" t="s">
        <x:v>69</x:v>
      </x:c>
      <x:c r="E12" s="78" t="s">
        <x:v>258</x:v>
      </x:c>
      <x:c r="F12" s="78" t="s">
        <x:v>69</x:v>
      </x:c>
      <x:c r="G12" s="78" t="s">
        <x:v>255</x:v>
      </x:c>
      <x:c r="H12" s="6" t="s">
        <x:v>199</x:v>
      </x:c>
    </x:row>
    <x:row r="13" ht="23.100000381469727" customHeight="1">
      <x:c r="A13" s="6" t="s">
        <x:v>259</x:v>
      </x:c>
      <x:c r="B13" s="78" t="s">
        <x:v>254</x:v>
      </x:c>
      <x:c r="C13" s="81">
        <x:v>46239</x:v>
      </x:c>
      <x:c r="D13" s="78" t="s">
        <x:v>69</x:v>
      </x:c>
      <x:c r="E13" s="78" t="s">
        <x:v>260</x:v>
      </x:c>
      <x:c r="F13" s="78" t="s">
        <x:v>69</x:v>
      </x:c>
      <x:c r="G13" s="78" t="s">
        <x:v>255</x:v>
      </x:c>
      <x:c r="H13" s="6" t="s">
        <x:v>199</x:v>
      </x:c>
    </x:row>
    <x:row r="14" ht="23.100000381469727" customHeight="1">
      <x:c r="A14" s="6" t="s">
        <x:v>66</x:v>
      </x:c>
      <x:c r="B14" s="78" t="s">
        <x:v>254</x:v>
      </x:c>
      <x:c r="C14" s="81">
        <x:v>46195</x:v>
      </x:c>
      <x:c r="D14" s="78" t="s">
        <x:v>69</x:v>
      </x:c>
      <x:c r="E14" s="78" t="s">
        <x:v>209</x:v>
      </x:c>
      <x:c r="F14" s="78" t="s">
        <x:v>69</x:v>
      </x:c>
      <x:c r="G14" s="78" t="s">
        <x:v>255</x:v>
      </x:c>
      <x:c r="H14" s="6" t="s">
        <x:v>199</x:v>
      </x:c>
    </x:row>
    <x:row r="15" ht="23.100000381469727" customHeight="1">
      <x:c r="A15" s="6" t="s">
        <x:v>68</x:v>
      </x:c>
      <x:c r="B15" s="78" t="s">
        <x:v>254</x:v>
      </x:c>
      <x:c r="C15" s="81">
        <x:v>46191</x:v>
      </x:c>
      <x:c r="D15" s="78" t="s">
        <x:v>69</x:v>
      </x:c>
      <x:c r="E15" s="78" t="s">
        <x:v>211</x:v>
      </x:c>
      <x:c r="F15" s="78" t="s">
        <x:v>69</x:v>
      </x:c>
      <x:c r="G15" s="78" t="s">
        <x:v>255</x:v>
      </x:c>
      <x:c r="H15" s="6" t="s">
        <x:v>199</x:v>
      </x:c>
    </x:row>
    <x:row r="16" ht="23.100000381469727" customHeight="1">
      <x:c r="A16" s="6" t="s">
        <x:v>71</x:v>
      </x:c>
      <x:c r="B16" s="78" t="s">
        <x:v>254</x:v>
      </x:c>
      <x:c r="C16" s="81">
        <x:v>46189</x:v>
      </x:c>
      <x:c r="D16" s="78" t="s">
        <x:v>69</x:v>
      </x:c>
      <x:c r="E16" s="78" t="s">
        <x:v>261</x:v>
      </x:c>
      <x:c r="F16" s="78" t="s">
        <x:v>69</x:v>
      </x:c>
      <x:c r="G16" s="78" t="s">
        <x:v>255</x:v>
      </x:c>
      <x:c r="H16" s="6" t="s">
        <x:v>199</x:v>
      </x:c>
    </x:row>
    <x:row r="17" ht="23.100000381469727" customHeight="1">
      <x:c r="A17" s="6" t="s">
        <x:v>73</x:v>
      </x:c>
      <x:c r="B17" s="78" t="s">
        <x:v>254</x:v>
      </x:c>
      <x:c r="C17" s="81">
        <x:v>46203</x:v>
      </x:c>
      <x:c r="D17" s="78" t="s">
        <x:v>69</x:v>
      </x:c>
      <x:c r="E17" s="78" t="s">
        <x:v>262</x:v>
      </x:c>
      <x:c r="F17" s="78" t="s">
        <x:v>69</x:v>
      </x:c>
      <x:c r="G17" s="78" t="s">
        <x:v>255</x:v>
      </x:c>
      <x:c r="H17" s="6" t="s">
        <x:v>199</x:v>
      </x:c>
    </x:row>
    <x:row r="18" ht="23.100000381469727" customHeight="1">
      <x:c r="A18" s="6" t="s">
        <x:v>74</x:v>
      </x:c>
      <x:c r="B18" s="78" t="s">
        <x:v>254</x:v>
      </x:c>
      <x:c r="C18" s="81">
        <x:v>46192</x:v>
      </x:c>
      <x:c r="D18" s="78" t="s">
        <x:v>69</x:v>
      </x:c>
      <x:c r="E18" s="78" t="s">
        <x:v>213</x:v>
      </x:c>
      <x:c r="F18" s="78" t="s">
        <x:v>69</x:v>
      </x:c>
      <x:c r="G18" s="78" t="s">
        <x:v>255</x:v>
      </x:c>
      <x:c r="H18" s="6" t="s">
        <x:v>199</x:v>
      </x:c>
    </x:row>
    <x:row r="19" ht="23.100000381469727" customHeight="1">
      <x:c r="A19" s="6" t="s">
        <x:v>76</x:v>
      </x:c>
      <x:c r="B19" s="78" t="s">
        <x:v>254</x:v>
      </x:c>
      <x:c r="C19" s="81">
        <x:v>46253</x:v>
      </x:c>
      <x:c r="D19" s="78" t="s">
        <x:v>69</x:v>
      </x:c>
      <x:c r="E19" s="78" t="s">
        <x:v>263</x:v>
      </x:c>
      <x:c r="F19" s="78" t="s">
        <x:v>69</x:v>
      </x:c>
      <x:c r="G19" s="78" t="s">
        <x:v>255</x:v>
      </x:c>
      <x:c r="H19" s="6" t="s">
        <x:v>199</x:v>
      </x:c>
    </x:row>
    <x:row r="20" ht="23.100000381469727" customHeight="1">
      <x:c r="A20" s="6" t="s">
        <x:v>78</x:v>
      </x:c>
      <x:c r="B20" s="78" t="s">
        <x:v>254</x:v>
      </x:c>
      <x:c r="C20" s="81">
        <x:v>46171</x:v>
      </x:c>
      <x:c r="D20" s="78" t="s">
        <x:v>69</x:v>
      </x:c>
      <x:c r="E20" s="78" t="s">
        <x:v>215</x:v>
      </x:c>
      <x:c r="F20" s="78" t="s">
        <x:v>69</x:v>
      </x:c>
      <x:c r="G20" s="78" t="s">
        <x:v>255</x:v>
      </x:c>
      <x:c r="H20" s="6" t="s">
        <x:v>199</x:v>
      </x:c>
    </x:row>
    <x:row r="21" ht="23.100000381469727" customHeight="1">
      <x:c r="A21" s="6" t="s">
        <x:v>80</x:v>
      </x:c>
      <x:c r="B21" s="78" t="s">
        <x:v>254</x:v>
      </x:c>
      <x:c r="C21" s="81">
        <x:v>46192</x:v>
      </x:c>
      <x:c r="D21" s="78" t="s">
        <x:v>69</x:v>
      </x:c>
      <x:c r="E21" s="78" t="s">
        <x:v>264</x:v>
      </x:c>
      <x:c r="F21" s="78" t="s">
        <x:v>69</x:v>
      </x:c>
      <x:c r="G21" s="78" t="s">
        <x:v>255</x:v>
      </x:c>
      <x:c r="H21" s="6" t="s">
        <x:v>199</x:v>
      </x:c>
    </x:row>
    <x:row r="22" ht="23.100000381469727" customHeight="1">
      <x:c r="A22" s="6" t="s">
        <x:v>82</x:v>
      </x:c>
      <x:c r="B22" s="78" t="s">
        <x:v>254</x:v>
      </x:c>
      <x:c r="C22" s="81">
        <x:v>46189</x:v>
      </x:c>
      <x:c r="D22" s="78" t="s">
        <x:v>69</x:v>
      </x:c>
      <x:c r="E22" s="78" t="s">
        <x:v>217</x:v>
      </x:c>
      <x:c r="F22" s="78" t="s">
        <x:v>69</x:v>
      </x:c>
      <x:c r="G22" s="78" t="s">
        <x:v>255</x:v>
      </x:c>
      <x:c r="H22" s="6" t="s">
        <x:v>199</x:v>
      </x:c>
    </x:row>
    <x:row r="23" ht="23.100000381469727" customHeight="1">
      <x:c r="A23" s="6" t="s">
        <x:v>99</x:v>
      </x:c>
      <x:c r="B23" s="78" t="s">
        <x:v>254</x:v>
      </x:c>
      <x:c r="C23" s="81">
        <x:v>46202</x:v>
      </x:c>
      <x:c r="D23" s="78" t="s">
        <x:v>69</x:v>
      </x:c>
      <x:c r="E23" s="78" t="s">
        <x:v>231</x:v>
      </x:c>
      <x:c r="F23" s="78" t="s">
        <x:v>69</x:v>
      </x:c>
      <x:c r="G23" s="78" t="s">
        <x:v>255</x:v>
      </x:c>
      <x:c r="H23" s="6" t="s">
        <x:v>199</x:v>
      </x:c>
    </x:row>
    <x:row r="24" ht="23.100000381469727" customHeight="1">
      <x:c r="A24" s="6" t="s">
        <x:v>84</x:v>
      </x:c>
      <x:c r="B24" s="78" t="s">
        <x:v>254</x:v>
      </x:c>
      <x:c r="C24" s="81">
        <x:v>46205</x:v>
      </x:c>
      <x:c r="D24" s="78" t="s">
        <x:v>69</x:v>
      </x:c>
      <x:c r="E24" s="78" t="s">
        <x:v>219</x:v>
      </x:c>
      <x:c r="F24" s="78" t="s">
        <x:v>69</x:v>
      </x:c>
      <x:c r="G24" s="78" t="s">
        <x:v>255</x:v>
      </x:c>
      <x:c r="H24" s="6" t="s">
        <x:v>199</x:v>
      </x:c>
    </x:row>
    <x:row r="25" ht="23.100000381469727" customHeight="1">
      <x:c r="A25" s="6" t="s">
        <x:v>265</x:v>
      </x:c>
      <x:c r="B25" s="78" t="s">
        <x:v>254</x:v>
      </x:c>
      <x:c r="C25" s="81">
        <x:v>46210</x:v>
      </x:c>
      <x:c r="D25" s="78" t="s">
        <x:v>69</x:v>
      </x:c>
      <x:c r="E25" s="78" t="s">
        <x:v>266</x:v>
      </x:c>
      <x:c r="F25" s="78" t="s">
        <x:v>69</x:v>
      </x:c>
      <x:c r="G25" s="78" t="s">
        <x:v>255</x:v>
      </x:c>
      <x:c r="H25" s="6" t="s">
        <x:v>199</x:v>
      </x:c>
    </x:row>
    <x:row r="26" ht="23.100000381469727" customHeight="1">
      <x:c r="A26" s="6" t="s">
        <x:v>86</x:v>
      </x:c>
      <x:c r="B26" s="78" t="s">
        <x:v>254</x:v>
      </x:c>
      <x:c r="C26" s="81">
        <x:v>46205</x:v>
      </x:c>
      <x:c r="D26" s="78" t="s">
        <x:v>69</x:v>
      </x:c>
      <x:c r="E26" s="78" t="s">
        <x:v>267</x:v>
      </x:c>
      <x:c r="F26" s="78" t="s">
        <x:v>69</x:v>
      </x:c>
      <x:c r="G26" s="78" t="s">
        <x:v>255</x:v>
      </x:c>
      <x:c r="H26" s="6" t="s">
        <x:v>199</x:v>
      </x:c>
    </x:row>
    <x:row r="27" ht="23.100000381469727" customHeight="1">
      <x:c r="A27" s="6" t="s">
        <x:v>88</x:v>
      </x:c>
      <x:c r="B27" s="78" t="s">
        <x:v>254</x:v>
      </x:c>
      <x:c r="C27" s="81">
        <x:v>46190</x:v>
      </x:c>
      <x:c r="D27" s="78" t="s">
        <x:v>69</x:v>
      </x:c>
      <x:c r="E27" s="78" t="s">
        <x:v>221</x:v>
      </x:c>
      <x:c r="F27" s="78" t="s">
        <x:v>69</x:v>
      </x:c>
      <x:c r="G27" s="78" t="s">
        <x:v>255</x:v>
      </x:c>
      <x:c r="H27" s="6" t="s">
        <x:v>199</x:v>
      </x:c>
    </x:row>
    <x:row r="28" ht="23.100000381469727" customHeight="1">
      <x:c r="A28" s="6" t="s">
        <x:v>90</x:v>
      </x:c>
      <x:c r="B28" s="78" t="s">
        <x:v>254</x:v>
      </x:c>
      <x:c r="C28" s="81">
        <x:v>46195</x:v>
      </x:c>
      <x:c r="D28" s="78" t="s">
        <x:v>69</x:v>
      </x:c>
      <x:c r="E28" s="78" t="s">
        <x:v>223</x:v>
      </x:c>
      <x:c r="F28" s="78" t="s">
        <x:v>69</x:v>
      </x:c>
      <x:c r="G28" s="78" t="s">
        <x:v>255</x:v>
      </x:c>
      <x:c r="H28" s="6" t="s">
        <x:v>199</x:v>
      </x:c>
    </x:row>
    <x:row r="29" ht="23.100000381469727" customHeight="1">
      <x:c r="A29" s="6" t="s">
        <x:v>92</x:v>
      </x:c>
      <x:c r="B29" s="78" t="s">
        <x:v>254</x:v>
      </x:c>
      <x:c r="C29" s="81">
        <x:v>46197</x:v>
      </x:c>
      <x:c r="D29" s="78" t="s">
        <x:v>69</x:v>
      </x:c>
      <x:c r="E29" s="78" t="s">
        <x:v>225</x:v>
      </x:c>
      <x:c r="F29" s="78" t="s">
        <x:v>69</x:v>
      </x:c>
      <x:c r="G29" s="78" t="s">
        <x:v>255</x:v>
      </x:c>
      <x:c r="H29" s="6" t="s">
        <x:v>199</x:v>
      </x:c>
    </x:row>
    <x:row r="30" ht="23.100000381469727" customHeight="1">
      <x:c r="A30" s="6" t="s">
        <x:v>94</x:v>
      </x:c>
      <x:c r="B30" s="78" t="s">
        <x:v>254</x:v>
      </x:c>
      <x:c r="C30" s="81">
        <x:v>46192</x:v>
      </x:c>
      <x:c r="D30" s="78" t="s">
        <x:v>69</x:v>
      </x:c>
      <x:c r="E30" s="78" t="s">
        <x:v>227</x:v>
      </x:c>
      <x:c r="F30" s="78" t="s">
        <x:v>69</x:v>
      </x:c>
      <x:c r="G30" s="78" t="s">
        <x:v>255</x:v>
      </x:c>
      <x:c r="H30" s="6" t="s">
        <x:v>199</x:v>
      </x:c>
    </x:row>
    <x:row r="31" ht="23.100000381469727" customHeight="1">
      <x:c r="A31" s="6" t="s">
        <x:v>96</x:v>
      </x:c>
      <x:c r="B31" s="78" t="s">
        <x:v>254</x:v>
      </x:c>
      <x:c r="C31" s="81">
        <x:v>46189</x:v>
      </x:c>
      <x:c r="D31" s="78" t="s">
        <x:v>69</x:v>
      </x:c>
      <x:c r="E31" s="78" t="s">
        <x:v>268</x:v>
      </x:c>
      <x:c r="F31" s="78" t="s">
        <x:v>69</x:v>
      </x:c>
      <x:c r="G31" s="78" t="s">
        <x:v>255</x:v>
      </x:c>
      <x:c r="H31" s="6" t="s">
        <x:v>199</x:v>
      </x:c>
    </x:row>
    <x:row r="32" ht="23.100000381469727" customHeight="1">
      <x:c r="A32" s="7" t="s">
        <x:v>97</x:v>
      </x:c>
      <x:c r="B32" s="79" t="s">
        <x:v>254</x:v>
      </x:c>
      <x:c r="C32" s="82">
        <x:v>46191</x:v>
      </x:c>
      <x:c r="D32" s="79" t="s">
        <x:v>69</x:v>
      </x:c>
      <x:c r="E32" s="79" t="s">
        <x:v>229</x:v>
      </x:c>
      <x:c r="F32" s="79" t="s">
        <x:v>69</x:v>
      </x:c>
      <x:c r="G32" s="79" t="s">
        <x:v>255</x:v>
      </x:c>
      <x:c r="H32" s="7" t="s">
        <x:v>199</x:v>
      </x:c>
    </x:row>
  </x:sheetData>
  <x:mergeCells>
    <x:mergeCell ref="A2:H2"/>
    <x:mergeCell ref="A3:H3"/>
  </x:mergeCells>
  <x:dataValidations count="1">
    <x:dataValidation type="list" sqref="D7:D32 F7:F32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21336a242648b1"/>
  </x:tableParts>
</x:worksheet>
</file>

<file path=xl/worksheets/sheet11.xml><?xml version="1.0" encoding="utf-8"?>
<x:worksheet xmlns:x="http://schemas.openxmlformats.org/spreadsheetml/2006/main">
  <x:sheetPr>
    <x:tabColor rgb="FF8A6D3B"/>
  </x:sheetPr>
  <x:sheetViews>
    <x:sheetView showGridLines="0" workbookViewId="0">
      <x:pane ySplit="6" topLeftCell="A7" activePane="bottomLeft" state="frozen"/>
    </x:sheetView>
  </x:sheetViews>
  <x:sheetFormatPr defaultRowHeight="14.25"/>
  <x:cols>
    <x:col min="1" max="2" width="14" customWidth="1"/>
    <x:col min="3" max="6" width="18" customWidth="1"/>
    <x:col min="7" max="7" width="28" customWidth="1"/>
    <x:col min="8" max="10" width="14" customWidth="1"/>
    <x:col min="11" max="11" width="20" customWidth="1"/>
    <x:col min="12" max="13" width="16" customWidth="1"/>
    <x:col min="14" max="14" width="10" customWidth="1"/>
    <x:col min="15" max="15" width="48" customWidth="1"/>
    <x:col min="16" max="16" width="22" customWidth="1"/>
    <x:col min="17" max="17" width="16" customWidth="1"/>
  </x:cols>
  <x:sheetData>
    <x:row r="2" ht="19.5">
      <x:c r="A2" s="86" t="s">
        <x:v>269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</x:row>
    <x:row r="3">
      <x:c r="A3" s="88" t="s">
        <x:v>270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</x:row>
    <x:row r="6" ht="36" customHeight="1">
      <x:c r="A6" s="74" t="s">
        <x:v>41</x:v>
      </x:c>
      <x:c r="B6" s="75" t="s">
        <x:v>174</x:v>
      </x:c>
      <x:c r="C6" s="75" t="s">
        <x:v>175</x:v>
      </x:c>
      <x:c r="D6" s="75" t="s">
        <x:v>176</x:v>
      </x:c>
      <x:c r="E6" s="75" t="s">
        <x:v>177</x:v>
      </x:c>
      <x:c r="F6" s="75" t="s">
        <x:v>178</x:v>
      </x:c>
      <x:c r="G6" s="75" t="s">
        <x:v>179</x:v>
      </x:c>
      <x:c r="H6" s="75" t="s">
        <x:v>180</x:v>
      </x:c>
      <x:c r="I6" s="75" t="s">
        <x:v>181</x:v>
      </x:c>
      <x:c r="J6" s="75" t="s">
        <x:v>182</x:v>
      </x:c>
      <x:c r="K6" s="75" t="s">
        <x:v>183</x:v>
      </x:c>
      <x:c r="L6" s="75" t="s">
        <x:v>45</x:v>
      </x:c>
      <x:c r="M6" s="75" t="s">
        <x:v>46</x:v>
      </x:c>
      <x:c r="N6" s="75" t="s">
        <x:v>47</x:v>
      </x:c>
      <x:c r="O6" s="75" t="s">
        <x:v>49</x:v>
      </x:c>
      <x:c r="P6" s="75" t="s">
        <x:v>146</x:v>
      </x:c>
      <x:c r="Q6" s="76" t="s">
        <x:v>51</x:v>
      </x:c>
    </x:row>
    <x:row r="7" ht="23.100000381469727" customHeight="1">
      <x:c r="A7" s="5" t="s">
        <x:v>52</x:v>
      </x:c>
      <x:c r="B7" s="5" t="s">
        <x:v>184</x:v>
      </x:c>
      <x:c r="C7" s="77" t="s">
        <x:v>147</x:v>
      </x:c>
      <x:c r="D7" s="77" t="s">
        <x:v>271</x:v>
      </x:c>
      <x:c r="E7" s="83"/>
      <x:c r="F7" s="83"/>
      <x:c r="G7" s="77" t="s">
        <x:v>272</x:v>
      </x:c>
      <x:c r="H7" s="77"/>
      <x:c r="I7" s="83"/>
      <x:c r="J7" s="77">
        <x:v>24</x:v>
      </x:c>
      <x:c r="K7" s="77">
        <x:v>0</x:v>
      </x:c>
      <x:c r="L7" s="80">
        <x:v>46237</x:v>
      </x:c>
      <x:c r="M7" s="80"/>
      <x:c r="N7" s="77" t="s">
        <x:v>69</x:v>
      </x:c>
      <x:c r="O7" s="77" t="s">
        <x:v>273</x:v>
      </x:c>
      <x:c r="P7" s="5" t="str">
        <x:f t="shared" ref="P7:P32" si="0">IF(N7&lt;&gt;"Sim","Inativa",IF(OR(A7="",B7="",C7="",D7="",G7="",L7=""),"Configuração incompleta",IF(AND(G7="Dia útil + hora",OR(H7="",I7="")),"Prazo incompleto",IF(AND(G7="Horas úteis",J7=""),"Horas úteis ausentes","Regra ativa"))))</x:f>
        <x:v>Regra ativa</x:v>
      </x:c>
      <x:c r="Q7" s="77" t="s">
        <x:v>55</x:v>
      </x:c>
    </x:row>
    <x:row r="8" ht="23.100000381469727" customHeight="1">
      <x:c r="A8" s="6" t="s">
        <x:v>256</x:v>
      </x:c>
      <x:c r="B8" s="6" t="s">
        <x:v>184</x:v>
      </x:c>
      <x:c r="C8" s="78" t="s">
        <x:v>147</x:v>
      </x:c>
      <x:c r="D8" s="78" t="s">
        <x:v>271</x:v>
      </x:c>
      <x:c r="E8" s="84"/>
      <x:c r="F8" s="84"/>
      <x:c r="G8" s="78" t="s">
        <x:v>272</x:v>
      </x:c>
      <x:c r="H8" s="78"/>
      <x:c r="I8" s="84"/>
      <x:c r="J8" s="78">
        <x:v>24</x:v>
      </x:c>
      <x:c r="K8" s="78">
        <x:v>0</x:v>
      </x:c>
      <x:c r="L8" s="81">
        <x:v>46239</x:v>
      </x:c>
      <x:c r="M8" s="81"/>
      <x:c r="N8" s="78" t="s">
        <x:v>69</x:v>
      </x:c>
      <x:c r="O8" s="78" t="s">
        <x:v>273</x:v>
      </x:c>
      <x:c r="P8" s="6" t="str">
        <x:f t="shared" si="0"/>
        <x:v>Regra ativa</x:v>
      </x:c>
      <x:c r="Q8" s="78" t="s">
        <x:v>55</x:v>
      </x:c>
    </x:row>
    <x:row r="9" ht="23.100000381469727" customHeight="1">
      <x:c r="A9" s="6" t="s">
        <x:v>56</x:v>
      </x:c>
      <x:c r="B9" s="6" t="s">
        <x:v>184</x:v>
      </x:c>
      <x:c r="C9" s="78" t="s">
        <x:v>147</x:v>
      </x:c>
      <x:c r="D9" s="78" t="s">
        <x:v>271</x:v>
      </x:c>
      <x:c r="E9" s="84"/>
      <x:c r="F9" s="84"/>
      <x:c r="G9" s="78" t="s">
        <x:v>272</x:v>
      </x:c>
      <x:c r="H9" s="78"/>
      <x:c r="I9" s="84"/>
      <x:c r="J9" s="78">
        <x:v>24</x:v>
      </x:c>
      <x:c r="K9" s="78">
        <x:v>0</x:v>
      </x:c>
      <x:c r="L9" s="81">
        <x:v>46190</x:v>
      </x:c>
      <x:c r="M9" s="81"/>
      <x:c r="N9" s="78" t="s">
        <x:v>69</x:v>
      </x:c>
      <x:c r="O9" s="78" t="s">
        <x:v>273</x:v>
      </x:c>
      <x:c r="P9" s="6" t="str">
        <x:f t="shared" si="0"/>
        <x:v>Regra ativa</x:v>
      </x:c>
      <x:c r="Q9" s="78" t="s">
        <x:v>55</x:v>
      </x:c>
    </x:row>
    <x:row r="10" ht="23.100000381469727" customHeight="1">
      <x:c r="A10" s="6" t="s">
        <x:v>58</x:v>
      </x:c>
      <x:c r="B10" s="6" t="s">
        <x:v>184</x:v>
      </x:c>
      <x:c r="C10" s="78" t="s">
        <x:v>147</x:v>
      </x:c>
      <x:c r="D10" s="78" t="s">
        <x:v>271</x:v>
      </x:c>
      <x:c r="E10" s="84"/>
      <x:c r="F10" s="84"/>
      <x:c r="G10" s="78" t="s">
        <x:v>272</x:v>
      </x:c>
      <x:c r="H10" s="78"/>
      <x:c r="I10" s="84"/>
      <x:c r="J10" s="78">
        <x:v>24</x:v>
      </x:c>
      <x:c r="K10" s="78">
        <x:v>0</x:v>
      </x:c>
      <x:c r="L10" s="81">
        <x:v>46190</x:v>
      </x:c>
      <x:c r="M10" s="81"/>
      <x:c r="N10" s="78" t="s">
        <x:v>69</x:v>
      </x:c>
      <x:c r="O10" s="78" t="s">
        <x:v>273</x:v>
      </x:c>
      <x:c r="P10" s="6" t="str">
        <x:f t="shared" si="0"/>
        <x:v>Regra ativa</x:v>
      </x:c>
      <x:c r="Q10" s="78" t="s">
        <x:v>55</x:v>
      </x:c>
    </x:row>
    <x:row r="11" ht="23.100000381469727" customHeight="1">
      <x:c r="A11" s="6" t="s">
        <x:v>62</x:v>
      </x:c>
      <x:c r="B11" s="6" t="s">
        <x:v>184</x:v>
      </x:c>
      <x:c r="C11" s="78" t="s">
        <x:v>147</x:v>
      </x:c>
      <x:c r="D11" s="78" t="s">
        <x:v>271</x:v>
      </x:c>
      <x:c r="E11" s="84"/>
      <x:c r="F11" s="84"/>
      <x:c r="G11" s="78" t="s">
        <x:v>272</x:v>
      </x:c>
      <x:c r="H11" s="78"/>
      <x:c r="I11" s="84"/>
      <x:c r="J11" s="78">
        <x:v>24</x:v>
      </x:c>
      <x:c r="K11" s="78">
        <x:v>0</x:v>
      </x:c>
      <x:c r="L11" s="81">
        <x:v>46183</x:v>
      </x:c>
      <x:c r="M11" s="81"/>
      <x:c r="N11" s="78" t="s">
        <x:v>69</x:v>
      </x:c>
      <x:c r="O11" s="78" t="s">
        <x:v>273</x:v>
      </x:c>
      <x:c r="P11" s="6" t="str">
        <x:f t="shared" si="0"/>
        <x:v>Regra ativa</x:v>
      </x:c>
      <x:c r="Q11" s="78" t="s">
        <x:v>55</x:v>
      </x:c>
    </x:row>
    <x:row r="12" ht="23.100000381469727" customHeight="1">
      <x:c r="A12" s="6" t="s">
        <x:v>64</x:v>
      </x:c>
      <x:c r="B12" s="6" t="s">
        <x:v>184</x:v>
      </x:c>
      <x:c r="C12" s="78" t="s">
        <x:v>147</x:v>
      </x:c>
      <x:c r="D12" s="78" t="s">
        <x:v>271</x:v>
      </x:c>
      <x:c r="E12" s="84"/>
      <x:c r="F12" s="84"/>
      <x:c r="G12" s="78" t="s">
        <x:v>272</x:v>
      </x:c>
      <x:c r="H12" s="78"/>
      <x:c r="I12" s="84"/>
      <x:c r="J12" s="78">
        <x:v>24</x:v>
      </x:c>
      <x:c r="K12" s="78">
        <x:v>0</x:v>
      </x:c>
      <x:c r="L12" s="81">
        <x:v>46175</x:v>
      </x:c>
      <x:c r="M12" s="81"/>
      <x:c r="N12" s="78" t="s">
        <x:v>69</x:v>
      </x:c>
      <x:c r="O12" s="78" t="s">
        <x:v>273</x:v>
      </x:c>
      <x:c r="P12" s="6" t="str">
        <x:f t="shared" si="0"/>
        <x:v>Regra ativa</x:v>
      </x:c>
      <x:c r="Q12" s="78" t="s">
        <x:v>55</x:v>
      </x:c>
    </x:row>
    <x:row r="13" ht="23.100000381469727" customHeight="1">
      <x:c r="A13" s="6" t="s">
        <x:v>259</x:v>
      </x:c>
      <x:c r="B13" s="6" t="s">
        <x:v>184</x:v>
      </x:c>
      <x:c r="C13" s="78" t="s">
        <x:v>147</x:v>
      </x:c>
      <x:c r="D13" s="78" t="s">
        <x:v>271</x:v>
      </x:c>
      <x:c r="E13" s="84"/>
      <x:c r="F13" s="84"/>
      <x:c r="G13" s="78" t="s">
        <x:v>272</x:v>
      </x:c>
      <x:c r="H13" s="78"/>
      <x:c r="I13" s="84"/>
      <x:c r="J13" s="78">
        <x:v>24</x:v>
      </x:c>
      <x:c r="K13" s="78">
        <x:v>0</x:v>
      </x:c>
      <x:c r="L13" s="81">
        <x:v>46239</x:v>
      </x:c>
      <x:c r="M13" s="81"/>
      <x:c r="N13" s="78" t="s">
        <x:v>69</x:v>
      </x:c>
      <x:c r="O13" s="78" t="s">
        <x:v>273</x:v>
      </x:c>
      <x:c r="P13" s="6" t="str">
        <x:f t="shared" si="0"/>
        <x:v>Regra ativa</x:v>
      </x:c>
      <x:c r="Q13" s="78" t="s">
        <x:v>55</x:v>
      </x:c>
    </x:row>
    <x:row r="14" ht="23.100000381469727" customHeight="1">
      <x:c r="A14" s="6" t="s">
        <x:v>66</x:v>
      </x:c>
      <x:c r="B14" s="6" t="s">
        <x:v>184</x:v>
      </x:c>
      <x:c r="C14" s="78" t="s">
        <x:v>147</x:v>
      </x:c>
      <x:c r="D14" s="78" t="s">
        <x:v>271</x:v>
      </x:c>
      <x:c r="E14" s="84"/>
      <x:c r="F14" s="84"/>
      <x:c r="G14" s="78" t="s">
        <x:v>272</x:v>
      </x:c>
      <x:c r="H14" s="78"/>
      <x:c r="I14" s="84"/>
      <x:c r="J14" s="78">
        <x:v>24</x:v>
      </x:c>
      <x:c r="K14" s="78">
        <x:v>0</x:v>
      </x:c>
      <x:c r="L14" s="81">
        <x:v>46195</x:v>
      </x:c>
      <x:c r="M14" s="81"/>
      <x:c r="N14" s="78" t="s">
        <x:v>69</x:v>
      </x:c>
      <x:c r="O14" s="78" t="s">
        <x:v>273</x:v>
      </x:c>
      <x:c r="P14" s="6" t="str">
        <x:f t="shared" si="0"/>
        <x:v>Regra ativa</x:v>
      </x:c>
      <x:c r="Q14" s="78" t="s">
        <x:v>55</x:v>
      </x:c>
    </x:row>
    <x:row r="15" ht="23.100000381469727" customHeight="1">
      <x:c r="A15" s="6" t="s">
        <x:v>68</x:v>
      </x:c>
      <x:c r="B15" s="6" t="s">
        <x:v>184</x:v>
      </x:c>
      <x:c r="C15" s="78" t="s">
        <x:v>147</x:v>
      </x:c>
      <x:c r="D15" s="78" t="s">
        <x:v>271</x:v>
      </x:c>
      <x:c r="E15" s="84"/>
      <x:c r="F15" s="84"/>
      <x:c r="G15" s="78" t="s">
        <x:v>272</x:v>
      </x:c>
      <x:c r="H15" s="78"/>
      <x:c r="I15" s="84"/>
      <x:c r="J15" s="78">
        <x:v>24</x:v>
      </x:c>
      <x:c r="K15" s="78">
        <x:v>0</x:v>
      </x:c>
      <x:c r="L15" s="81">
        <x:v>46191</x:v>
      </x:c>
      <x:c r="M15" s="81"/>
      <x:c r="N15" s="78" t="s">
        <x:v>69</x:v>
      </x:c>
      <x:c r="O15" s="78" t="s">
        <x:v>273</x:v>
      </x:c>
      <x:c r="P15" s="6" t="str">
        <x:f t="shared" si="0"/>
        <x:v>Regra ativa</x:v>
      </x:c>
      <x:c r="Q15" s="78" t="s">
        <x:v>55</x:v>
      </x:c>
    </x:row>
    <x:row r="16" ht="23.100000381469727" customHeight="1">
      <x:c r="A16" s="6" t="s">
        <x:v>71</x:v>
      </x:c>
      <x:c r="B16" s="6" t="s">
        <x:v>184</x:v>
      </x:c>
      <x:c r="C16" s="78" t="s">
        <x:v>147</x:v>
      </x:c>
      <x:c r="D16" s="78" t="s">
        <x:v>271</x:v>
      </x:c>
      <x:c r="E16" s="84"/>
      <x:c r="F16" s="84"/>
      <x:c r="G16" s="78" t="s">
        <x:v>272</x:v>
      </x:c>
      <x:c r="H16" s="78"/>
      <x:c r="I16" s="84"/>
      <x:c r="J16" s="78">
        <x:v>24</x:v>
      </x:c>
      <x:c r="K16" s="78">
        <x:v>0</x:v>
      </x:c>
      <x:c r="L16" s="81">
        <x:v>46189</x:v>
      </x:c>
      <x:c r="M16" s="81"/>
      <x:c r="N16" s="78" t="s">
        <x:v>69</x:v>
      </x:c>
      <x:c r="O16" s="78" t="s">
        <x:v>273</x:v>
      </x:c>
      <x:c r="P16" s="6" t="str">
        <x:f t="shared" si="0"/>
        <x:v>Regra ativa</x:v>
      </x:c>
      <x:c r="Q16" s="78" t="s">
        <x:v>55</x:v>
      </x:c>
    </x:row>
    <x:row r="17" ht="23.100000381469727" customHeight="1">
      <x:c r="A17" s="6" t="s">
        <x:v>73</x:v>
      </x:c>
      <x:c r="B17" s="6" t="s">
        <x:v>184</x:v>
      </x:c>
      <x:c r="C17" s="78" t="s">
        <x:v>147</x:v>
      </x:c>
      <x:c r="D17" s="78" t="s">
        <x:v>271</x:v>
      </x:c>
      <x:c r="E17" s="84"/>
      <x:c r="F17" s="84"/>
      <x:c r="G17" s="78" t="s">
        <x:v>272</x:v>
      </x:c>
      <x:c r="H17" s="78"/>
      <x:c r="I17" s="84"/>
      <x:c r="J17" s="78">
        <x:v>24</x:v>
      </x:c>
      <x:c r="K17" s="78">
        <x:v>0</x:v>
      </x:c>
      <x:c r="L17" s="81">
        <x:v>46203</x:v>
      </x:c>
      <x:c r="M17" s="81"/>
      <x:c r="N17" s="78" t="s">
        <x:v>69</x:v>
      </x:c>
      <x:c r="O17" s="78" t="s">
        <x:v>273</x:v>
      </x:c>
      <x:c r="P17" s="6" t="str">
        <x:f t="shared" si="0"/>
        <x:v>Regra ativa</x:v>
      </x:c>
      <x:c r="Q17" s="78" t="s">
        <x:v>55</x:v>
      </x:c>
    </x:row>
    <x:row r="18" ht="23.100000381469727" customHeight="1">
      <x:c r="A18" s="6" t="s">
        <x:v>74</x:v>
      </x:c>
      <x:c r="B18" s="6" t="s">
        <x:v>184</x:v>
      </x:c>
      <x:c r="C18" s="78" t="s">
        <x:v>147</x:v>
      </x:c>
      <x:c r="D18" s="78" t="s">
        <x:v>271</x:v>
      </x:c>
      <x:c r="E18" s="84"/>
      <x:c r="F18" s="84"/>
      <x:c r="G18" s="78" t="s">
        <x:v>272</x:v>
      </x:c>
      <x:c r="H18" s="78"/>
      <x:c r="I18" s="84"/>
      <x:c r="J18" s="78">
        <x:v>24</x:v>
      </x:c>
      <x:c r="K18" s="78">
        <x:v>0</x:v>
      </x:c>
      <x:c r="L18" s="81">
        <x:v>46192</x:v>
      </x:c>
      <x:c r="M18" s="81"/>
      <x:c r="N18" s="78" t="s">
        <x:v>69</x:v>
      </x:c>
      <x:c r="O18" s="78" t="s">
        <x:v>273</x:v>
      </x:c>
      <x:c r="P18" s="6" t="str">
        <x:f t="shared" si="0"/>
        <x:v>Regra ativa</x:v>
      </x:c>
      <x:c r="Q18" s="78" t="s">
        <x:v>55</x:v>
      </x:c>
    </x:row>
    <x:row r="19" ht="23.100000381469727" customHeight="1">
      <x:c r="A19" s="6" t="s">
        <x:v>76</x:v>
      </x:c>
      <x:c r="B19" s="6" t="s">
        <x:v>184</x:v>
      </x:c>
      <x:c r="C19" s="78" t="s">
        <x:v>147</x:v>
      </x:c>
      <x:c r="D19" s="78" t="s">
        <x:v>271</x:v>
      </x:c>
      <x:c r="E19" s="84"/>
      <x:c r="F19" s="84"/>
      <x:c r="G19" s="78" t="s">
        <x:v>272</x:v>
      </x:c>
      <x:c r="H19" s="78"/>
      <x:c r="I19" s="84"/>
      <x:c r="J19" s="78">
        <x:v>24</x:v>
      </x:c>
      <x:c r="K19" s="78">
        <x:v>0</x:v>
      </x:c>
      <x:c r="L19" s="81">
        <x:v>46253</x:v>
      </x:c>
      <x:c r="M19" s="81"/>
      <x:c r="N19" s="78" t="s">
        <x:v>69</x:v>
      </x:c>
      <x:c r="O19" s="78" t="s">
        <x:v>273</x:v>
      </x:c>
      <x:c r="P19" s="6" t="str">
        <x:f t="shared" si="0"/>
        <x:v>Regra ativa</x:v>
      </x:c>
      <x:c r="Q19" s="78" t="s">
        <x:v>55</x:v>
      </x:c>
    </x:row>
    <x:row r="20" ht="23.100000381469727" customHeight="1">
      <x:c r="A20" s="6" t="s">
        <x:v>78</x:v>
      </x:c>
      <x:c r="B20" s="6" t="s">
        <x:v>184</x:v>
      </x:c>
      <x:c r="C20" s="78" t="s">
        <x:v>147</x:v>
      </x:c>
      <x:c r="D20" s="78" t="s">
        <x:v>271</x:v>
      </x:c>
      <x:c r="E20" s="84"/>
      <x:c r="F20" s="84"/>
      <x:c r="G20" s="78" t="s">
        <x:v>272</x:v>
      </x:c>
      <x:c r="H20" s="78"/>
      <x:c r="I20" s="84"/>
      <x:c r="J20" s="78">
        <x:v>24</x:v>
      </x:c>
      <x:c r="K20" s="78">
        <x:v>0</x:v>
      </x:c>
      <x:c r="L20" s="81">
        <x:v>46171</x:v>
      </x:c>
      <x:c r="M20" s="81"/>
      <x:c r="N20" s="78" t="s">
        <x:v>69</x:v>
      </x:c>
      <x:c r="O20" s="78" t="s">
        <x:v>273</x:v>
      </x:c>
      <x:c r="P20" s="6" t="str">
        <x:f t="shared" si="0"/>
        <x:v>Regra ativa</x:v>
      </x:c>
      <x:c r="Q20" s="78" t="s">
        <x:v>55</x:v>
      </x:c>
    </x:row>
    <x:row r="21" ht="23.100000381469727" customHeight="1">
      <x:c r="A21" s="6" t="s">
        <x:v>80</x:v>
      </x:c>
      <x:c r="B21" s="6" t="s">
        <x:v>184</x:v>
      </x:c>
      <x:c r="C21" s="78" t="s">
        <x:v>147</x:v>
      </x:c>
      <x:c r="D21" s="78" t="s">
        <x:v>271</x:v>
      </x:c>
      <x:c r="E21" s="84"/>
      <x:c r="F21" s="84"/>
      <x:c r="G21" s="78" t="s">
        <x:v>272</x:v>
      </x:c>
      <x:c r="H21" s="78"/>
      <x:c r="I21" s="84"/>
      <x:c r="J21" s="78">
        <x:v>24</x:v>
      </x:c>
      <x:c r="K21" s="78">
        <x:v>0</x:v>
      </x:c>
      <x:c r="L21" s="81">
        <x:v>46192</x:v>
      </x:c>
      <x:c r="M21" s="81"/>
      <x:c r="N21" s="78" t="s">
        <x:v>69</x:v>
      </x:c>
      <x:c r="O21" s="78" t="s">
        <x:v>273</x:v>
      </x:c>
      <x:c r="P21" s="6" t="str">
        <x:f t="shared" si="0"/>
        <x:v>Regra ativa</x:v>
      </x:c>
      <x:c r="Q21" s="78" t="s">
        <x:v>55</x:v>
      </x:c>
    </x:row>
    <x:row r="22" ht="23.100000381469727" customHeight="1">
      <x:c r="A22" s="6" t="s">
        <x:v>82</x:v>
      </x:c>
      <x:c r="B22" s="6" t="s">
        <x:v>184</x:v>
      </x:c>
      <x:c r="C22" s="78" t="s">
        <x:v>147</x:v>
      </x:c>
      <x:c r="D22" s="78" t="s">
        <x:v>271</x:v>
      </x:c>
      <x:c r="E22" s="84"/>
      <x:c r="F22" s="84"/>
      <x:c r="G22" s="78" t="s">
        <x:v>272</x:v>
      </x:c>
      <x:c r="H22" s="78"/>
      <x:c r="I22" s="84"/>
      <x:c r="J22" s="78">
        <x:v>24</x:v>
      </x:c>
      <x:c r="K22" s="78">
        <x:v>0</x:v>
      </x:c>
      <x:c r="L22" s="81">
        <x:v>46189</x:v>
      </x:c>
      <x:c r="M22" s="81"/>
      <x:c r="N22" s="78" t="s">
        <x:v>69</x:v>
      </x:c>
      <x:c r="O22" s="78" t="s">
        <x:v>273</x:v>
      </x:c>
      <x:c r="P22" s="6" t="str">
        <x:f t="shared" si="0"/>
        <x:v>Regra ativa</x:v>
      </x:c>
      <x:c r="Q22" s="78" t="s">
        <x:v>55</x:v>
      </x:c>
    </x:row>
    <x:row r="23" ht="23.100000381469727" customHeight="1">
      <x:c r="A23" s="6" t="s">
        <x:v>99</x:v>
      </x:c>
      <x:c r="B23" s="6" t="s">
        <x:v>184</x:v>
      </x:c>
      <x:c r="C23" s="78" t="s">
        <x:v>147</x:v>
      </x:c>
      <x:c r="D23" s="78" t="s">
        <x:v>271</x:v>
      </x:c>
      <x:c r="E23" s="84"/>
      <x:c r="F23" s="84"/>
      <x:c r="G23" s="78" t="s">
        <x:v>272</x:v>
      </x:c>
      <x:c r="H23" s="78"/>
      <x:c r="I23" s="84"/>
      <x:c r="J23" s="78">
        <x:v>24</x:v>
      </x:c>
      <x:c r="K23" s="78">
        <x:v>0</x:v>
      </x:c>
      <x:c r="L23" s="81">
        <x:v>46202</x:v>
      </x:c>
      <x:c r="M23" s="81"/>
      <x:c r="N23" s="78" t="s">
        <x:v>69</x:v>
      </x:c>
      <x:c r="O23" s="78" t="s">
        <x:v>273</x:v>
      </x:c>
      <x:c r="P23" s="6" t="str">
        <x:f t="shared" si="0"/>
        <x:v>Regra ativa</x:v>
      </x:c>
      <x:c r="Q23" s="78" t="s">
        <x:v>55</x:v>
      </x:c>
    </x:row>
    <x:row r="24" ht="23.100000381469727" customHeight="1">
      <x:c r="A24" s="6" t="s">
        <x:v>84</x:v>
      </x:c>
      <x:c r="B24" s="6" t="s">
        <x:v>184</x:v>
      </x:c>
      <x:c r="C24" s="78" t="s">
        <x:v>147</x:v>
      </x:c>
      <x:c r="D24" s="78" t="s">
        <x:v>271</x:v>
      </x:c>
      <x:c r="E24" s="84"/>
      <x:c r="F24" s="84"/>
      <x:c r="G24" s="78" t="s">
        <x:v>272</x:v>
      </x:c>
      <x:c r="H24" s="78"/>
      <x:c r="I24" s="84"/>
      <x:c r="J24" s="78">
        <x:v>24</x:v>
      </x:c>
      <x:c r="K24" s="78">
        <x:v>0</x:v>
      </x:c>
      <x:c r="L24" s="81">
        <x:v>46205</x:v>
      </x:c>
      <x:c r="M24" s="81"/>
      <x:c r="N24" s="78" t="s">
        <x:v>69</x:v>
      </x:c>
      <x:c r="O24" s="78" t="s">
        <x:v>273</x:v>
      </x:c>
      <x:c r="P24" s="6" t="str">
        <x:f t="shared" si="0"/>
        <x:v>Regra ativa</x:v>
      </x:c>
      <x:c r="Q24" s="78" t="s">
        <x:v>55</x:v>
      </x:c>
    </x:row>
    <x:row r="25" ht="23.100000381469727" customHeight="1">
      <x:c r="A25" s="6" t="s">
        <x:v>265</x:v>
      </x:c>
      <x:c r="B25" s="6" t="s">
        <x:v>184</x:v>
      </x:c>
      <x:c r="C25" s="78" t="s">
        <x:v>147</x:v>
      </x:c>
      <x:c r="D25" s="78" t="s">
        <x:v>271</x:v>
      </x:c>
      <x:c r="E25" s="84"/>
      <x:c r="F25" s="84"/>
      <x:c r="G25" s="78" t="s">
        <x:v>272</x:v>
      </x:c>
      <x:c r="H25" s="78"/>
      <x:c r="I25" s="84"/>
      <x:c r="J25" s="78">
        <x:v>24</x:v>
      </x:c>
      <x:c r="K25" s="78">
        <x:v>0</x:v>
      </x:c>
      <x:c r="L25" s="81">
        <x:v>46210</x:v>
      </x:c>
      <x:c r="M25" s="81"/>
      <x:c r="N25" s="78" t="s">
        <x:v>69</x:v>
      </x:c>
      <x:c r="O25" s="78" t="s">
        <x:v>273</x:v>
      </x:c>
      <x:c r="P25" s="6" t="str">
        <x:f t="shared" si="0"/>
        <x:v>Regra ativa</x:v>
      </x:c>
      <x:c r="Q25" s="78" t="s">
        <x:v>55</x:v>
      </x:c>
    </x:row>
    <x:row r="26" ht="23.100000381469727" customHeight="1">
      <x:c r="A26" s="6" t="s">
        <x:v>86</x:v>
      </x:c>
      <x:c r="B26" s="6" t="s">
        <x:v>184</x:v>
      </x:c>
      <x:c r="C26" s="78" t="s">
        <x:v>147</x:v>
      </x:c>
      <x:c r="D26" s="78" t="s">
        <x:v>271</x:v>
      </x:c>
      <x:c r="E26" s="84"/>
      <x:c r="F26" s="84"/>
      <x:c r="G26" s="78" t="s">
        <x:v>272</x:v>
      </x:c>
      <x:c r="H26" s="78"/>
      <x:c r="I26" s="84"/>
      <x:c r="J26" s="78">
        <x:v>24</x:v>
      </x:c>
      <x:c r="K26" s="78">
        <x:v>0</x:v>
      </x:c>
      <x:c r="L26" s="81">
        <x:v>46205</x:v>
      </x:c>
      <x:c r="M26" s="81"/>
      <x:c r="N26" s="78" t="s">
        <x:v>69</x:v>
      </x:c>
      <x:c r="O26" s="78" t="s">
        <x:v>273</x:v>
      </x:c>
      <x:c r="P26" s="6" t="str">
        <x:f t="shared" si="0"/>
        <x:v>Regra ativa</x:v>
      </x:c>
      <x:c r="Q26" s="78" t="s">
        <x:v>55</x:v>
      </x:c>
    </x:row>
    <x:row r="27" ht="23.100000381469727" customHeight="1">
      <x:c r="A27" s="6" t="s">
        <x:v>88</x:v>
      </x:c>
      <x:c r="B27" s="6" t="s">
        <x:v>184</x:v>
      </x:c>
      <x:c r="C27" s="78" t="s">
        <x:v>147</x:v>
      </x:c>
      <x:c r="D27" s="78" t="s">
        <x:v>271</x:v>
      </x:c>
      <x:c r="E27" s="84"/>
      <x:c r="F27" s="84"/>
      <x:c r="G27" s="78" t="s">
        <x:v>272</x:v>
      </x:c>
      <x:c r="H27" s="78"/>
      <x:c r="I27" s="84"/>
      <x:c r="J27" s="78">
        <x:v>24</x:v>
      </x:c>
      <x:c r="K27" s="78">
        <x:v>0</x:v>
      </x:c>
      <x:c r="L27" s="81">
        <x:v>46190</x:v>
      </x:c>
      <x:c r="M27" s="81"/>
      <x:c r="N27" s="78" t="s">
        <x:v>69</x:v>
      </x:c>
      <x:c r="O27" s="78" t="s">
        <x:v>273</x:v>
      </x:c>
      <x:c r="P27" s="6" t="str">
        <x:f t="shared" si="0"/>
        <x:v>Regra ativa</x:v>
      </x:c>
      <x:c r="Q27" s="78" t="s">
        <x:v>55</x:v>
      </x:c>
    </x:row>
    <x:row r="28" ht="23.100000381469727" customHeight="1">
      <x:c r="A28" s="6" t="s">
        <x:v>90</x:v>
      </x:c>
      <x:c r="B28" s="6" t="s">
        <x:v>184</x:v>
      </x:c>
      <x:c r="C28" s="78" t="s">
        <x:v>147</x:v>
      </x:c>
      <x:c r="D28" s="78" t="s">
        <x:v>271</x:v>
      </x:c>
      <x:c r="E28" s="84"/>
      <x:c r="F28" s="84"/>
      <x:c r="G28" s="78" t="s">
        <x:v>272</x:v>
      </x:c>
      <x:c r="H28" s="78"/>
      <x:c r="I28" s="84"/>
      <x:c r="J28" s="78">
        <x:v>24</x:v>
      </x:c>
      <x:c r="K28" s="78">
        <x:v>0</x:v>
      </x:c>
      <x:c r="L28" s="81">
        <x:v>46195</x:v>
      </x:c>
      <x:c r="M28" s="81"/>
      <x:c r="N28" s="78" t="s">
        <x:v>69</x:v>
      </x:c>
      <x:c r="O28" s="78" t="s">
        <x:v>273</x:v>
      </x:c>
      <x:c r="P28" s="6" t="str">
        <x:f t="shared" si="0"/>
        <x:v>Regra ativa</x:v>
      </x:c>
      <x:c r="Q28" s="78" t="s">
        <x:v>55</x:v>
      </x:c>
    </x:row>
    <x:row r="29" ht="23.100000381469727" customHeight="1">
      <x:c r="A29" s="6" t="s">
        <x:v>92</x:v>
      </x:c>
      <x:c r="B29" s="6" t="s">
        <x:v>184</x:v>
      </x:c>
      <x:c r="C29" s="78" t="s">
        <x:v>147</x:v>
      </x:c>
      <x:c r="D29" s="78" t="s">
        <x:v>271</x:v>
      </x:c>
      <x:c r="E29" s="84"/>
      <x:c r="F29" s="84"/>
      <x:c r="G29" s="78" t="s">
        <x:v>272</x:v>
      </x:c>
      <x:c r="H29" s="78"/>
      <x:c r="I29" s="84"/>
      <x:c r="J29" s="78">
        <x:v>24</x:v>
      </x:c>
      <x:c r="K29" s="78">
        <x:v>0</x:v>
      </x:c>
      <x:c r="L29" s="81">
        <x:v>46197</x:v>
      </x:c>
      <x:c r="M29" s="81"/>
      <x:c r="N29" s="78" t="s">
        <x:v>69</x:v>
      </x:c>
      <x:c r="O29" s="78" t="s">
        <x:v>273</x:v>
      </x:c>
      <x:c r="P29" s="6" t="str">
        <x:f t="shared" si="0"/>
        <x:v>Regra ativa</x:v>
      </x:c>
      <x:c r="Q29" s="78" t="s">
        <x:v>55</x:v>
      </x:c>
    </x:row>
    <x:row r="30" ht="23.100000381469727" customHeight="1">
      <x:c r="A30" s="6" t="s">
        <x:v>94</x:v>
      </x:c>
      <x:c r="B30" s="6" t="s">
        <x:v>184</x:v>
      </x:c>
      <x:c r="C30" s="78" t="s">
        <x:v>147</x:v>
      </x:c>
      <x:c r="D30" s="78" t="s">
        <x:v>271</x:v>
      </x:c>
      <x:c r="E30" s="84"/>
      <x:c r="F30" s="84"/>
      <x:c r="G30" s="78" t="s">
        <x:v>272</x:v>
      </x:c>
      <x:c r="H30" s="78"/>
      <x:c r="I30" s="84"/>
      <x:c r="J30" s="78">
        <x:v>24</x:v>
      </x:c>
      <x:c r="K30" s="78">
        <x:v>0</x:v>
      </x:c>
      <x:c r="L30" s="81">
        <x:v>46192</x:v>
      </x:c>
      <x:c r="M30" s="81"/>
      <x:c r="N30" s="78" t="s">
        <x:v>69</x:v>
      </x:c>
      <x:c r="O30" s="78" t="s">
        <x:v>273</x:v>
      </x:c>
      <x:c r="P30" s="6" t="str">
        <x:f t="shared" si="0"/>
        <x:v>Regra ativa</x:v>
      </x:c>
      <x:c r="Q30" s="78" t="s">
        <x:v>55</x:v>
      </x:c>
    </x:row>
    <x:row r="31" ht="23.100000381469727" customHeight="1">
      <x:c r="A31" s="6" t="s">
        <x:v>96</x:v>
      </x:c>
      <x:c r="B31" s="6" t="s">
        <x:v>184</x:v>
      </x:c>
      <x:c r="C31" s="78" t="s">
        <x:v>147</x:v>
      </x:c>
      <x:c r="D31" s="78" t="s">
        <x:v>271</x:v>
      </x:c>
      <x:c r="E31" s="84"/>
      <x:c r="F31" s="84"/>
      <x:c r="G31" s="78" t="s">
        <x:v>272</x:v>
      </x:c>
      <x:c r="H31" s="78"/>
      <x:c r="I31" s="84"/>
      <x:c r="J31" s="78">
        <x:v>24</x:v>
      </x:c>
      <x:c r="K31" s="78">
        <x:v>0</x:v>
      </x:c>
      <x:c r="L31" s="81">
        <x:v>46189</x:v>
      </x:c>
      <x:c r="M31" s="81"/>
      <x:c r="N31" s="78" t="s">
        <x:v>69</x:v>
      </x:c>
      <x:c r="O31" s="78" t="s">
        <x:v>273</x:v>
      </x:c>
      <x:c r="P31" s="6" t="str">
        <x:f t="shared" si="0"/>
        <x:v>Regra ativa</x:v>
      </x:c>
      <x:c r="Q31" s="78" t="s">
        <x:v>55</x:v>
      </x:c>
    </x:row>
    <x:row r="32" ht="23.100000381469727" customHeight="1">
      <x:c r="A32" s="7" t="s">
        <x:v>97</x:v>
      </x:c>
      <x:c r="B32" s="7" t="s">
        <x:v>184</x:v>
      </x:c>
      <x:c r="C32" s="79" t="s">
        <x:v>147</x:v>
      </x:c>
      <x:c r="D32" s="79" t="s">
        <x:v>271</x:v>
      </x:c>
      <x:c r="E32" s="85"/>
      <x:c r="F32" s="85"/>
      <x:c r="G32" s="79" t="s">
        <x:v>274</x:v>
      </x:c>
      <x:c r="H32" s="79"/>
      <x:c r="I32" s="85"/>
      <x:c r="J32" s="79"/>
      <x:c r="K32" s="79">
        <x:v>0</x:v>
      </x:c>
      <x:c r="L32" s="82">
        <x:v>46191</x:v>
      </x:c>
      <x:c r="M32" s="82"/>
      <x:c r="N32" s="79" t="s">
        <x:v>69</x:v>
      </x:c>
      <x:c r="O32" s="79" t="s">
        <x:v>275</x:v>
      </x:c>
      <x:c r="P32" s="7" t="str">
        <x:f t="shared" si="0"/>
        <x:v>Regra ativa</x:v>
      </x:c>
      <x:c r="Q32" s="79" t="s">
        <x:v>55</x:v>
      </x:c>
    </x:row>
  </x:sheetData>
  <x:mergeCells>
    <x:mergeCell ref="A2:Q2"/>
    <x:mergeCell ref="A3:Q3"/>
  </x:mergeCells>
  <x:dataValidations count="3">
    <x:dataValidation type="list" sqref="C7:D32">
      <x:formula1>"Creation,Released,In Progress,Finish,UDF 1,UDF 2,UDF 3,UDF 4"</x:formula1>
    </x:dataValidation>
    <x:dataValidation type="list" sqref="G7:G32">
      <x:formula1>"Data de vencimento da fonte,Dia útil + hora,Horas úteis"</x:formula1>
    </x:dataValidation>
    <x:dataValidation type="list" sqref="N7:N32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f4d0f5f23a4629"/>
  </x:tableParts>
</x:worksheet>
</file>

<file path=xl/worksheets/sheet12.xml><?xml version="1.0" encoding="utf-8"?>
<x:worksheet xmlns:x="http://schemas.openxmlformats.org/spreadsheetml/2006/main">
  <x:sheetPr>
    <x:tabColor rgb="FFA15C2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10" hidden="0" customWidth="1"/>
  </x:cols>
  <x:sheetData>
    <x:row r="1">
      <x:c r="A1" s="90"/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  <x:c r="O1" s="90"/>
      <x:c r="P1" s="90"/>
      <x:c r="Q1" s="90"/>
      <x:c r="R1" s="90"/>
      <x:c r="S1" s="90"/>
      <x:c r="T1" s="90"/>
      <x:c r="U1" s="90"/>
      <x:c r="V1" s="90"/>
      <x:c r="W1" s="90"/>
      <x:c r="X1" s="90"/>
      <x:c r="Y1" s="90"/>
      <x:c r="Z1" s="90"/>
    </x:row>
    <x:row r="2">
      <x:c r="A2" s="91" t="str">
        <x:v>Processos Outbound</x:v>
      </x:c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  <x:c r="O2" s="90"/>
      <x:c r="P2" s="90"/>
      <x:c r="Q2" s="90"/>
      <x:c r="R2" s="90"/>
      <x:c r="S2" s="90"/>
      <x:c r="T2" s="90"/>
      <x:c r="U2" s="90"/>
      <x:c r="V2" s="90"/>
      <x:c r="W2" s="90"/>
      <x:c r="X2" s="90"/>
      <x:c r="Y2" s="90"/>
      <x:c r="Z2" s="90"/>
    </x:row>
    <x:row r="3">
      <x:c r="A3" s="92" t="str">
        <x:v>Defina os limites de cada indicador. O tempo é medido da origem do primeiro par até o destino do segundo par.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  <x:c r="N3" s="90"/>
      <x:c r="O3" s="90"/>
      <x:c r="P3" s="90"/>
      <x:c r="Q3" s="90"/>
      <x:c r="R3" s="90"/>
      <x:c r="S3" s="90"/>
      <x:c r="T3" s="90"/>
      <x:c r="U3" s="90"/>
      <x:c r="V3" s="90"/>
      <x:c r="W3" s="90"/>
      <x:c r="X3" s="90"/>
      <x:c r="Y3" s="90"/>
      <x:c r="Z3" s="90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  <x:c r="K4" s="90"/>
      <x:c r="L4" s="90"/>
      <x:c r="M4" s="90"/>
      <x:c r="N4" s="90"/>
      <x:c r="O4" s="90"/>
      <x:c r="P4" s="90"/>
      <x:c r="Q4" s="90"/>
      <x:c r="R4" s="90"/>
      <x:c r="S4" s="90"/>
      <x:c r="T4" s="90"/>
      <x:c r="U4" s="90"/>
      <x:c r="V4" s="90"/>
      <x:c r="W4" s="90"/>
      <x:c r="X4" s="90"/>
      <x:c r="Y4" s="90"/>
      <x:c r="Z4" s="90"/>
    </x:row>
    <x:row r="5">
      <x:c r="A5" s="90"/>
      <x:c r="B5" s="90"/>
      <x:c r="C5" s="90"/>
      <x:c r="D5" s="90"/>
      <x:c r="E5" s="90"/>
      <x:c r="F5" s="90"/>
      <x:c r="G5" s="90"/>
      <x:c r="H5" s="90"/>
      <x:c r="I5" s="90"/>
      <x:c r="J5" s="90"/>
      <x:c r="K5" s="90"/>
      <x:c r="L5" s="90"/>
      <x:c r="M5" s="90"/>
      <x:c r="N5" s="90"/>
      <x:c r="O5" s="90"/>
      <x:c r="P5" s="90"/>
      <x:c r="Q5" s="90"/>
      <x:c r="R5" s="90"/>
      <x:c r="S5" s="90"/>
      <x:c r="T5" s="90"/>
      <x:c r="U5" s="90"/>
      <x:c r="V5" s="90"/>
      <x:c r="W5" s="90"/>
      <x:c r="X5" s="90"/>
      <x:c r="Y5" s="90"/>
      <x:c r="Z5" s="90"/>
    </x:row>
    <x:row r="6">
      <x:c r="A6" s="104" t="str">
        <x:v>ClientKey</x:v>
      </x:c>
      <x:c r="B6" s="105" t="str">
        <x:v>OwnerKey</x:v>
      </x:c>
      <x:c r="C6" s="105" t="str">
        <x:v>ProcessoKey</x:v>
      </x:c>
      <x:c r="D6" s="105" t="str">
        <x:v>ProcessoNome</x:v>
      </x:c>
      <x:c r="E6" s="105" t="str">
        <x:v>InicioOrigem</x:v>
      </x:c>
      <x:c r="F6" s="105" t="str">
        <x:v>InicioDestino</x:v>
      </x:c>
      <x:c r="G6" s="105" t="str">
        <x:v>FimOrigem</x:v>
      </x:c>
      <x:c r="H6" s="105" t="str">
        <x:v>FimDestino</x:v>
      </x:c>
      <x:c r="I6" s="105" t="str">
        <x:v>MetaHorasUteis</x:v>
      </x:c>
      <x:c r="J6" s="105" t="str">
        <x:v>VigenciaInicio</x:v>
      </x:c>
      <x:c r="K6" s="105" t="str">
        <x:v>VigenciaFim</x:v>
      </x:c>
      <x:c r="L6" s="106" t="str">
        <x:v>Ativo</x:v>
      </x:c>
      <x:c r="M6" s="90"/>
      <x:c r="N6" s="90"/>
      <x:c r="O6" s="90"/>
      <x:c r="P6" s="90"/>
      <x:c r="Q6" s="90"/>
      <x:c r="R6" s="90"/>
      <x:c r="S6" s="90"/>
      <x:c r="T6" s="90"/>
      <x:c r="U6" s="90"/>
      <x:c r="V6" s="90"/>
      <x:c r="W6" s="90"/>
      <x:c r="X6" s="90"/>
      <x:c r="Y6" s="90"/>
      <x:c r="Z6" s="90"/>
    </x:row>
    <x:row r="7" ht="23" customHeight="1">
      <x:c r="A7" s="110" t="str">
        <x:v>DEFAULT</x:v>
      </x:c>
      <x:c r="B7" s="110" t="str">
        <x:v>DEFAULT</x:v>
      </x:c>
      <x:c r="C7" s="110" t="str">
        <x:v>PROCESSAMENTO</x:v>
      </x:c>
      <x:c r="D7" s="110" t="str">
        <x:v>Processamento</x:v>
      </x:c>
      <x:c r="E7" s="110" t="str">
        <x:v>Allocated</x:v>
      </x:c>
      <x:c r="F7" s="110" t="str">
        <x:v>In Progress</x:v>
      </x:c>
      <x:c r="G7" s="110" t="str">
        <x:v>In Progress</x:v>
      </x:c>
      <x:c r="H7" s="110" t="str">
        <x:v>Picked</x:v>
      </x:c>
      <x:c r="I7" s="112"/>
      <x:c r="J7" s="114" t="n">
        <x:v>45658</x:v>
      </x:c>
      <x:c r="K7" s="114"/>
      <x:c r="L7" s="110" t="str">
        <x:v>Sim</x:v>
      </x:c>
      <x:c r="M7" s="90"/>
      <x:c r="N7" s="90"/>
      <x:c r="O7" s="90"/>
      <x:c r="P7" s="90"/>
      <x:c r="Q7" s="90"/>
      <x:c r="R7" s="90"/>
      <x:c r="S7" s="90"/>
      <x:c r="T7" s="90"/>
      <x:c r="U7" s="90"/>
      <x:c r="V7" s="90"/>
      <x:c r="W7" s="90"/>
      <x:c r="X7" s="90"/>
      <x:c r="Y7" s="90"/>
      <x:c r="Z7" s="90"/>
    </x:row>
    <x:row r="8" ht="23" customHeight="1">
      <x:c r="A8" s="111" t="str">
        <x:v>DEFAULT</x:v>
      </x:c>
      <x:c r="B8" s="111" t="str">
        <x:v>DEFAULT</x:v>
      </x:c>
      <x:c r="C8" s="111" t="str">
        <x:v>SEPARACAO</x:v>
      </x:c>
      <x:c r="D8" s="111" t="str">
        <x:v>Separação</x:v>
      </x:c>
      <x:c r="E8" s="111" t="str">
        <x:v>In Progress</x:v>
      </x:c>
      <x:c r="F8" s="111" t="str">
        <x:v>Picked</x:v>
      </x:c>
      <x:c r="G8" s="111" t="str">
        <x:v>Packed</x:v>
      </x:c>
      <x:c r="H8" s="111" t="str">
        <x:v>Ready to Load</x:v>
      </x:c>
      <x:c r="I8" s="113"/>
      <x:c r="J8" s="115" t="n">
        <x:v>45658</x:v>
      </x:c>
      <x:c r="K8" s="115"/>
      <x:c r="L8" s="111" t="str">
        <x:v>Sim</x:v>
      </x:c>
      <x:c r="M8" s="90"/>
      <x:c r="N8" s="90"/>
      <x:c r="O8" s="90"/>
      <x:c r="P8" s="90"/>
      <x:c r="Q8" s="90"/>
      <x:c r="R8" s="90"/>
      <x:c r="S8" s="90"/>
      <x:c r="T8" s="90"/>
      <x:c r="U8" s="90"/>
      <x:c r="V8" s="90"/>
      <x:c r="W8" s="90"/>
      <x:c r="X8" s="90"/>
      <x:c r="Y8" s="90"/>
      <x:c r="Z8" s="90"/>
    </x:row>
    <x:row r="9">
      <x:c r="A9" s="90"/>
      <x:c r="B9" s="90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N9" s="90"/>
      <x:c r="O9" s="90"/>
      <x:c r="P9" s="90"/>
      <x:c r="Q9" s="90"/>
      <x:c r="R9" s="90"/>
      <x:c r="S9" s="90"/>
      <x:c r="T9" s="90"/>
      <x:c r="U9" s="90"/>
      <x:c r="V9" s="90"/>
      <x:c r="W9" s="90"/>
      <x:c r="X9" s="90"/>
      <x:c r="Y9" s="90"/>
      <x:c r="Z9" s="90"/>
    </x:row>
    <x:row r="10">
      <x:c r="A10" s="90"/>
      <x:c r="B10" s="90"/>
      <x:c r="C10" s="90"/>
      <x:c r="D10" s="90"/>
      <x:c r="E10" s="90"/>
      <x:c r="F10" s="90"/>
      <x:c r="G10" s="90"/>
      <x:c r="H10" s="90"/>
      <x:c r="I10" s="90"/>
      <x:c r="J10" s="90"/>
      <x:c r="K10" s="90"/>
      <x:c r="L10" s="90"/>
      <x:c r="M10" s="90"/>
      <x:c r="N10" s="90"/>
      <x:c r="O10" s="90"/>
      <x:c r="P10" s="90"/>
      <x:c r="Q10" s="90"/>
      <x:c r="R10" s="90"/>
      <x:c r="S10" s="90"/>
      <x:c r="T10" s="90"/>
      <x:c r="U10" s="90"/>
      <x:c r="V10" s="90"/>
      <x:c r="W10" s="90"/>
      <x:c r="X10" s="90"/>
      <x:c r="Y10" s="90"/>
      <x:c r="Z10" s="90"/>
    </x:row>
    <x:row r="11">
      <x:c r="A11" s="90"/>
      <x:c r="B11" s="90"/>
      <x:c r="C11" s="90"/>
      <x:c r="D11" s="90"/>
      <x:c r="E11" s="90"/>
      <x:c r="F11" s="90"/>
      <x:c r="G11" s="90"/>
      <x:c r="H11" s="90"/>
      <x:c r="I11" s="90"/>
      <x:c r="J11" s="90"/>
      <x:c r="K11" s="90"/>
      <x:c r="L11" s="90"/>
      <x:c r="M11" s="90"/>
      <x:c r="N11" s="90"/>
      <x:c r="O11" s="90"/>
      <x:c r="P11" s="90"/>
      <x:c r="Q11" s="90"/>
      <x:c r="R11" s="90"/>
      <x:c r="S11" s="90"/>
      <x:c r="T11" s="90"/>
      <x:c r="U11" s="90"/>
      <x:c r="V11" s="90"/>
      <x:c r="W11" s="90"/>
      <x:c r="X11" s="90"/>
      <x:c r="Y11" s="90"/>
      <x:c r="Z11" s="90"/>
    </x:row>
    <x:row r="12">
      <x:c r="A12" s="90"/>
      <x:c r="B12" s="90"/>
      <x:c r="C12" s="90"/>
      <x:c r="D12" s="90"/>
      <x:c r="E12" s="90"/>
      <x:c r="F12" s="90"/>
      <x:c r="G12" s="90"/>
      <x:c r="H12" s="90"/>
      <x:c r="I12" s="90"/>
      <x:c r="J12" s="90"/>
      <x:c r="K12" s="90"/>
      <x:c r="L12" s="90"/>
      <x:c r="M12" s="90"/>
      <x:c r="N12" s="90"/>
      <x:c r="O12" s="90"/>
      <x:c r="P12" s="90"/>
      <x:c r="Q12" s="90"/>
      <x:c r="R12" s="90"/>
      <x:c r="S12" s="90"/>
      <x:c r="T12" s="90"/>
      <x:c r="U12" s="90"/>
      <x:c r="V12" s="90"/>
      <x:c r="W12" s="90"/>
      <x:c r="X12" s="90"/>
      <x:c r="Y12" s="90"/>
      <x:c r="Z12" s="90"/>
    </x:row>
    <x:row r="13">
      <x:c r="A13" s="90"/>
      <x:c r="B13" s="90"/>
      <x:c r="C13" s="90"/>
      <x:c r="D13" s="90"/>
      <x:c r="E13" s="90"/>
      <x:c r="F13" s="90"/>
      <x:c r="G13" s="90"/>
      <x:c r="H13" s="90"/>
      <x:c r="I13" s="90"/>
      <x:c r="J13" s="90"/>
      <x:c r="K13" s="90"/>
      <x:c r="L13" s="90"/>
      <x:c r="M13" s="90"/>
      <x:c r="N13" s="90"/>
      <x:c r="O13" s="90"/>
      <x:c r="P13" s="90"/>
      <x:c r="Q13" s="90"/>
      <x:c r="R13" s="90"/>
      <x:c r="S13" s="90"/>
      <x:c r="T13" s="90"/>
      <x:c r="U13" s="90"/>
      <x:c r="V13" s="90"/>
      <x:c r="W13" s="90"/>
      <x:c r="X13" s="90"/>
      <x:c r="Y13" s="90"/>
      <x:c r="Z13" s="90"/>
    </x:row>
    <x:row r="14">
      <x:c r="A14" s="90"/>
      <x:c r="B14" s="90"/>
      <x:c r="C14" s="90"/>
      <x:c r="D14" s="90"/>
      <x:c r="E14" s="90"/>
      <x:c r="F14" s="90"/>
      <x:c r="G14" s="90"/>
      <x:c r="H14" s="90"/>
      <x:c r="I14" s="90"/>
      <x:c r="J14" s="90"/>
      <x:c r="K14" s="90"/>
      <x:c r="L14" s="90"/>
      <x:c r="M14" s="90"/>
      <x:c r="N14" s="90"/>
      <x:c r="O14" s="90"/>
      <x:c r="P14" s="90"/>
      <x:c r="Q14" s="90"/>
      <x:c r="R14" s="90"/>
      <x:c r="S14" s="90"/>
      <x:c r="T14" s="90"/>
      <x:c r="U14" s="90"/>
      <x:c r="V14" s="90"/>
      <x:c r="W14" s="90"/>
      <x:c r="X14" s="90"/>
      <x:c r="Y14" s="90"/>
      <x:c r="Z14" s="90"/>
    </x:row>
    <x:row r="15">
      <x:c r="A15" s="90"/>
      <x:c r="B15" s="90"/>
      <x:c r="C15" s="90"/>
      <x:c r="D15" s="90"/>
      <x:c r="E15" s="90"/>
      <x:c r="F15" s="90"/>
      <x:c r="G15" s="90"/>
      <x:c r="H15" s="90"/>
      <x:c r="I15" s="90"/>
      <x:c r="J15" s="90"/>
      <x:c r="K15" s="90"/>
      <x:c r="L15" s="90"/>
      <x:c r="M15" s="90"/>
      <x:c r="N15" s="90"/>
      <x:c r="O15" s="90"/>
      <x:c r="P15" s="90"/>
      <x:c r="Q15" s="90"/>
      <x:c r="R15" s="90"/>
      <x:c r="S15" s="90"/>
      <x:c r="T15" s="90"/>
      <x:c r="U15" s="90"/>
      <x:c r="V15" s="90"/>
      <x:c r="W15" s="90"/>
      <x:c r="X15" s="90"/>
      <x:c r="Y15" s="90"/>
      <x:c r="Z15" s="90"/>
    </x:row>
    <x:row r="16">
      <x:c r="A16" s="90"/>
      <x:c r="B16" s="90"/>
      <x:c r="C16" s="90"/>
      <x:c r="D16" s="90"/>
      <x:c r="E16" s="90"/>
      <x:c r="F16" s="90"/>
      <x:c r="G16" s="90"/>
      <x:c r="H16" s="90"/>
      <x:c r="I16" s="90"/>
      <x:c r="J16" s="90"/>
      <x:c r="K16" s="90"/>
      <x:c r="L16" s="90"/>
      <x:c r="M16" s="90"/>
      <x:c r="N16" s="90"/>
      <x:c r="O16" s="90"/>
      <x:c r="P16" s="90"/>
      <x:c r="Q16" s="90"/>
      <x:c r="R16" s="90"/>
      <x:c r="S16" s="90"/>
      <x:c r="T16" s="90"/>
      <x:c r="U16" s="90"/>
      <x:c r="V16" s="90"/>
      <x:c r="W16" s="90"/>
      <x:c r="X16" s="90"/>
      <x:c r="Y16" s="90"/>
      <x:c r="Z16" s="90"/>
    </x:row>
    <x:row r="17">
      <x:c r="A17" s="90"/>
      <x:c r="B17" s="90"/>
      <x:c r="C17" s="90"/>
      <x:c r="D17" s="90"/>
      <x:c r="E17" s="90"/>
      <x:c r="F17" s="90"/>
      <x:c r="G17" s="90"/>
      <x:c r="H17" s="90"/>
      <x:c r="I17" s="90"/>
      <x:c r="J17" s="90"/>
      <x:c r="K17" s="90"/>
      <x:c r="L17" s="90"/>
      <x:c r="M17" s="90"/>
      <x:c r="N17" s="90"/>
      <x:c r="O17" s="90"/>
      <x:c r="P17" s="90"/>
      <x:c r="Q17" s="90"/>
      <x:c r="R17" s="90"/>
      <x:c r="S17" s="90"/>
      <x:c r="T17" s="90"/>
      <x:c r="U17" s="90"/>
      <x:c r="V17" s="90"/>
      <x:c r="W17" s="90"/>
      <x:c r="X17" s="90"/>
      <x:c r="Y17" s="90"/>
      <x:c r="Z17" s="90"/>
    </x:row>
    <x:row r="18">
      <x:c r="A18" s="90"/>
      <x:c r="B18" s="90"/>
      <x:c r="C18" s="90"/>
      <x:c r="D18" s="90"/>
      <x:c r="E18" s="90"/>
      <x:c r="F18" s="90"/>
      <x:c r="G18" s="90"/>
      <x:c r="H18" s="90"/>
      <x:c r="I18" s="90"/>
      <x:c r="J18" s="90"/>
      <x:c r="K18" s="90"/>
      <x:c r="L18" s="90"/>
      <x:c r="M18" s="90"/>
      <x:c r="N18" s="90"/>
      <x:c r="O18" s="90"/>
      <x:c r="P18" s="90"/>
      <x:c r="Q18" s="90"/>
      <x:c r="R18" s="90"/>
      <x:c r="S18" s="90"/>
      <x:c r="T18" s="90"/>
      <x:c r="U18" s="90"/>
      <x:c r="V18" s="90"/>
      <x:c r="W18" s="90"/>
      <x:c r="X18" s="90"/>
      <x:c r="Y18" s="90"/>
      <x:c r="Z18" s="90"/>
    </x:row>
    <x:row r="19">
      <x:c r="A19" s="90"/>
      <x:c r="B19" s="90"/>
      <x:c r="C19" s="90"/>
      <x:c r="D19" s="90"/>
      <x:c r="E19" s="90"/>
      <x:c r="F19" s="90"/>
      <x:c r="G19" s="90"/>
      <x:c r="H19" s="90"/>
      <x:c r="I19" s="90"/>
      <x:c r="J19" s="90"/>
      <x:c r="K19" s="90"/>
      <x:c r="L19" s="90"/>
      <x:c r="M19" s="90"/>
      <x:c r="N19" s="90"/>
      <x:c r="O19" s="90"/>
      <x:c r="P19" s="90"/>
      <x:c r="Q19" s="90"/>
      <x:c r="R19" s="90"/>
      <x:c r="S19" s="90"/>
      <x:c r="T19" s="90"/>
      <x:c r="U19" s="90"/>
      <x:c r="V19" s="90"/>
      <x:c r="W19" s="90"/>
      <x:c r="X19" s="90"/>
      <x:c r="Y19" s="90"/>
      <x:c r="Z19" s="90"/>
    </x:row>
    <x:row r="20">
      <x:c r="A20" s="90"/>
      <x:c r="B20" s="90"/>
      <x:c r="C20" s="90"/>
      <x:c r="D20" s="90"/>
      <x:c r="E20" s="90"/>
      <x:c r="F20" s="90"/>
      <x:c r="G20" s="90"/>
      <x:c r="H20" s="90"/>
      <x:c r="I20" s="90"/>
      <x:c r="J20" s="90"/>
      <x:c r="K20" s="90"/>
      <x:c r="L20" s="90"/>
      <x:c r="M20" s="90"/>
      <x:c r="N20" s="90"/>
      <x:c r="O20" s="90"/>
      <x:c r="P20" s="90"/>
      <x:c r="Q20" s="90"/>
      <x:c r="R20" s="90"/>
      <x:c r="S20" s="90"/>
      <x:c r="T20" s="90"/>
      <x:c r="U20" s="90"/>
      <x:c r="V20" s="90"/>
      <x:c r="W20" s="90"/>
      <x:c r="X20" s="90"/>
      <x:c r="Y20" s="90"/>
      <x:c r="Z20" s="90"/>
    </x:row>
    <x:row r="21">
      <x:c r="A21" s="90"/>
      <x:c r="B21" s="90"/>
      <x:c r="C21" s="90"/>
      <x:c r="D21" s="90"/>
      <x:c r="E21" s="90"/>
      <x:c r="F21" s="90"/>
      <x:c r="G21" s="90"/>
      <x:c r="H21" s="90"/>
      <x:c r="I21" s="90"/>
      <x:c r="J21" s="90"/>
      <x:c r="K21" s="90"/>
      <x:c r="L21" s="90"/>
      <x:c r="M21" s="90"/>
      <x:c r="N21" s="90"/>
      <x:c r="O21" s="90"/>
      <x:c r="P21" s="90"/>
      <x:c r="Q21" s="90"/>
      <x:c r="R21" s="90"/>
      <x:c r="S21" s="90"/>
      <x:c r="T21" s="90"/>
      <x:c r="U21" s="90"/>
      <x:c r="V21" s="90"/>
      <x:c r="W21" s="90"/>
      <x:c r="X21" s="90"/>
      <x:c r="Y21" s="90"/>
      <x:c r="Z21" s="90"/>
    </x:row>
    <x:row r="22">
      <x:c r="A22" s="90"/>
      <x:c r="B22" s="90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  <x:c r="Q22" s="90"/>
      <x:c r="R22" s="90"/>
      <x:c r="S22" s="90"/>
      <x:c r="T22" s="90"/>
      <x:c r="U22" s="90"/>
      <x:c r="V22" s="90"/>
      <x:c r="W22" s="90"/>
      <x:c r="X22" s="90"/>
      <x:c r="Y22" s="90"/>
      <x:c r="Z22" s="90"/>
    </x:row>
    <x:row r="23">
      <x:c r="A23" s="90"/>
      <x:c r="B23" s="90"/>
      <x:c r="C23" s="90"/>
      <x:c r="D23" s="90"/>
      <x:c r="E23" s="90"/>
      <x:c r="F23" s="90"/>
      <x:c r="G23" s="90"/>
      <x:c r="H23" s="90"/>
      <x:c r="I23" s="90"/>
      <x:c r="J23" s="90"/>
      <x:c r="K23" s="90"/>
      <x:c r="L23" s="90"/>
      <x:c r="M23" s="90"/>
      <x:c r="N23" s="90"/>
      <x:c r="O23" s="90"/>
      <x:c r="P23" s="90"/>
      <x:c r="Q23" s="90"/>
      <x:c r="R23" s="90"/>
      <x:c r="S23" s="90"/>
      <x:c r="T23" s="90"/>
      <x:c r="U23" s="90"/>
      <x:c r="V23" s="90"/>
      <x:c r="W23" s="90"/>
      <x:c r="X23" s="90"/>
      <x:c r="Y23" s="90"/>
      <x:c r="Z23" s="90"/>
    </x:row>
    <x:row r="24">
      <x:c r="A24" s="90"/>
      <x:c r="B24" s="90"/>
      <x:c r="C24" s="90"/>
      <x:c r="D24" s="90"/>
      <x:c r="E24" s="90"/>
      <x:c r="F24" s="90"/>
      <x:c r="G24" s="90"/>
      <x:c r="H24" s="90"/>
      <x:c r="I24" s="90"/>
      <x:c r="J24" s="90"/>
      <x:c r="K24" s="90"/>
      <x:c r="L24" s="90"/>
      <x:c r="M24" s="90"/>
      <x:c r="N24" s="90"/>
      <x:c r="O24" s="90"/>
      <x:c r="P24" s="90"/>
      <x:c r="Q24" s="90"/>
      <x:c r="R24" s="90"/>
      <x:c r="S24" s="90"/>
      <x:c r="T24" s="90"/>
      <x:c r="U24" s="90"/>
      <x:c r="V24" s="90"/>
      <x:c r="W24" s="90"/>
      <x:c r="X24" s="90"/>
      <x:c r="Y24" s="90"/>
      <x:c r="Z24" s="90"/>
    </x:row>
    <x:row r="25">
      <x:c r="A25" s="90"/>
      <x:c r="B25" s="90"/>
      <x:c r="C25" s="90"/>
      <x:c r="D25" s="90"/>
      <x:c r="E25" s="90"/>
      <x:c r="F25" s="90"/>
      <x:c r="G25" s="90"/>
      <x:c r="H25" s="90"/>
      <x:c r="I25" s="90"/>
      <x:c r="J25" s="90"/>
      <x:c r="K25" s="90"/>
      <x:c r="L25" s="90"/>
      <x:c r="M25" s="90"/>
      <x:c r="N25" s="90"/>
      <x:c r="O25" s="90"/>
      <x:c r="P25" s="90"/>
      <x:c r="Q25" s="90"/>
      <x:c r="R25" s="90"/>
      <x:c r="S25" s="90"/>
      <x:c r="T25" s="90"/>
      <x:c r="U25" s="90"/>
      <x:c r="V25" s="90"/>
      <x:c r="W25" s="90"/>
      <x:c r="X25" s="90"/>
      <x:c r="Y25" s="90"/>
      <x:c r="Z25" s="90"/>
    </x:row>
    <x:row r="26">
      <x:c r="A26" s="90"/>
      <x:c r="B26" s="90"/>
      <x:c r="C26" s="90"/>
      <x:c r="D26" s="90"/>
      <x:c r="E26" s="90"/>
      <x:c r="F26" s="90"/>
      <x:c r="G26" s="90"/>
      <x:c r="H26" s="90"/>
      <x:c r="I26" s="90"/>
      <x:c r="J26" s="90"/>
      <x:c r="K26" s="90"/>
      <x:c r="L26" s="90"/>
      <x:c r="M26" s="90"/>
      <x:c r="N26" s="90"/>
      <x:c r="O26" s="90"/>
      <x:c r="P26" s="90"/>
      <x:c r="Q26" s="90"/>
      <x:c r="R26" s="90"/>
      <x:c r="S26" s="90"/>
      <x:c r="T26" s="90"/>
      <x:c r="U26" s="90"/>
      <x:c r="V26" s="90"/>
      <x:c r="W26" s="90"/>
      <x:c r="X26" s="90"/>
      <x:c r="Y26" s="90"/>
      <x:c r="Z26" s="90"/>
    </x:row>
    <x:row r="27">
      <x:c r="A27" s="90"/>
      <x:c r="B27" s="90"/>
      <x:c r="C27" s="90"/>
      <x:c r="D27" s="90"/>
      <x:c r="E27" s="90"/>
      <x:c r="F27" s="90"/>
      <x:c r="G27" s="90"/>
      <x:c r="H27" s="90"/>
      <x:c r="I27" s="90"/>
      <x:c r="J27" s="90"/>
      <x:c r="K27" s="90"/>
      <x:c r="L27" s="90"/>
      <x:c r="M27" s="90"/>
      <x:c r="N27" s="90"/>
      <x:c r="O27" s="90"/>
      <x:c r="P27" s="90"/>
      <x:c r="Q27" s="90"/>
      <x:c r="R27" s="90"/>
      <x:c r="S27" s="90"/>
      <x:c r="T27" s="90"/>
      <x:c r="U27" s="90"/>
      <x:c r="V27" s="90"/>
      <x:c r="W27" s="90"/>
      <x:c r="X27" s="90"/>
      <x:c r="Y27" s="90"/>
      <x:c r="Z27" s="90"/>
    </x:row>
    <x:row r="28">
      <x:c r="A28" s="90"/>
      <x:c r="B28" s="90"/>
      <x:c r="C28" s="90"/>
      <x:c r="D28" s="90"/>
      <x:c r="E28" s="90"/>
      <x:c r="F28" s="90"/>
      <x:c r="G28" s="90"/>
      <x:c r="H28" s="90"/>
      <x:c r="I28" s="90"/>
      <x:c r="J28" s="90"/>
      <x:c r="K28" s="90"/>
      <x:c r="L28" s="90"/>
      <x:c r="M28" s="90"/>
      <x:c r="N28" s="90"/>
      <x:c r="O28" s="90"/>
      <x:c r="P28" s="90"/>
      <x:c r="Q28" s="90"/>
      <x:c r="R28" s="90"/>
      <x:c r="S28" s="90"/>
      <x:c r="T28" s="90"/>
      <x:c r="U28" s="90"/>
      <x:c r="V28" s="90"/>
      <x:c r="W28" s="90"/>
      <x:c r="X28" s="90"/>
      <x:c r="Y28" s="90"/>
      <x:c r="Z28" s="90"/>
    </x:row>
    <x:row r="29">
      <x:c r="A29" s="90"/>
      <x:c r="B29" s="90"/>
      <x:c r="C29" s="90"/>
      <x:c r="D29" s="90"/>
      <x:c r="E29" s="90"/>
      <x:c r="F29" s="90"/>
      <x:c r="G29" s="90"/>
      <x:c r="H29" s="90"/>
      <x:c r="I29" s="90"/>
      <x:c r="J29" s="90"/>
      <x:c r="K29" s="90"/>
      <x:c r="L29" s="90"/>
      <x:c r="M29" s="90"/>
      <x:c r="N29" s="90"/>
      <x:c r="O29" s="90"/>
      <x:c r="P29" s="90"/>
      <x:c r="Q29" s="90"/>
      <x:c r="R29" s="90"/>
      <x:c r="S29" s="90"/>
      <x:c r="T29" s="90"/>
      <x:c r="U29" s="90"/>
      <x:c r="V29" s="90"/>
      <x:c r="W29" s="90"/>
      <x:c r="X29" s="90"/>
      <x:c r="Y29" s="90"/>
      <x:c r="Z29" s="90"/>
    </x:row>
    <x:row r="30">
      <x:c r="A30" s="90"/>
      <x:c r="B30" s="90"/>
      <x:c r="C30" s="90"/>
      <x:c r="D30" s="90"/>
      <x:c r="E30" s="90"/>
      <x:c r="F30" s="90"/>
      <x:c r="G30" s="90"/>
      <x:c r="H30" s="90"/>
      <x:c r="I30" s="90"/>
      <x:c r="J30" s="90"/>
      <x:c r="K30" s="90"/>
      <x:c r="L30" s="90"/>
      <x:c r="M30" s="90"/>
      <x:c r="N30" s="90"/>
      <x:c r="O30" s="90"/>
      <x:c r="P30" s="90"/>
      <x:c r="Q30" s="90"/>
      <x:c r="R30" s="90"/>
      <x:c r="S30" s="90"/>
      <x:c r="T30" s="90"/>
      <x:c r="U30" s="90"/>
      <x:c r="V30" s="90"/>
      <x:c r="W30" s="90"/>
      <x:c r="X30" s="90"/>
      <x:c r="Y30" s="90"/>
      <x:c r="Z30" s="90"/>
    </x:row>
    <x:row r="31">
      <x:c r="A31" s="90"/>
      <x:c r="B31" s="90"/>
      <x:c r="C31" s="90"/>
      <x:c r="D31" s="90"/>
      <x:c r="E31" s="90"/>
      <x:c r="F31" s="90"/>
      <x:c r="G31" s="90"/>
      <x:c r="H31" s="90"/>
      <x:c r="I31" s="90"/>
      <x:c r="J31" s="90"/>
      <x:c r="K31" s="90"/>
      <x:c r="L31" s="90"/>
      <x:c r="M31" s="90"/>
      <x:c r="N31" s="90"/>
      <x:c r="O31" s="90"/>
      <x:c r="P31" s="90"/>
      <x:c r="Q31" s="90"/>
      <x:c r="R31" s="90"/>
      <x:c r="S31" s="90"/>
      <x:c r="T31" s="90"/>
      <x:c r="U31" s="90"/>
      <x:c r="V31" s="90"/>
      <x:c r="W31" s="90"/>
      <x:c r="X31" s="90"/>
      <x:c r="Y31" s="90"/>
      <x:c r="Z31" s="90"/>
    </x:row>
    <x:row r="32">
      <x:c r="A32" s="90"/>
      <x:c r="B32" s="90"/>
      <x:c r="C32" s="90"/>
      <x:c r="D32" s="90"/>
      <x:c r="E32" s="90"/>
      <x:c r="F32" s="90"/>
      <x:c r="G32" s="90"/>
      <x:c r="H32" s="90"/>
      <x:c r="I32" s="90"/>
      <x:c r="J32" s="90"/>
      <x:c r="K32" s="90"/>
      <x:c r="L32" s="90"/>
      <x:c r="M32" s="90"/>
      <x:c r="N32" s="90"/>
      <x:c r="O32" s="90"/>
      <x:c r="P32" s="90"/>
      <x:c r="Q32" s="90"/>
      <x:c r="R32" s="90"/>
      <x:c r="S32" s="90"/>
      <x:c r="T32" s="90"/>
      <x:c r="U32" s="90"/>
      <x:c r="V32" s="90"/>
      <x:c r="W32" s="90"/>
      <x:c r="X32" s="90"/>
      <x:c r="Y32" s="90"/>
      <x:c r="Z32" s="90"/>
    </x:row>
    <x:row r="33">
      <x:c r="A33" s="90"/>
      <x:c r="B33" s="90"/>
      <x:c r="C33" s="90"/>
      <x:c r="D33" s="90"/>
      <x:c r="E33" s="90"/>
      <x:c r="F33" s="90"/>
      <x:c r="G33" s="90"/>
      <x:c r="H33" s="90"/>
      <x:c r="I33" s="90"/>
      <x:c r="J33" s="90"/>
      <x:c r="K33" s="90"/>
      <x:c r="L33" s="90"/>
      <x:c r="M33" s="90"/>
      <x:c r="N33" s="90"/>
      <x:c r="O33" s="90"/>
      <x:c r="P33" s="90"/>
      <x:c r="Q33" s="90"/>
      <x:c r="R33" s="90"/>
      <x:c r="S33" s="90"/>
      <x:c r="T33" s="90"/>
      <x:c r="U33" s="90"/>
      <x:c r="V33" s="90"/>
      <x:c r="W33" s="90"/>
      <x:c r="X33" s="90"/>
      <x:c r="Y33" s="90"/>
      <x:c r="Z33" s="90"/>
    </x:row>
    <x:row r="34">
      <x:c r="A34" s="90"/>
      <x:c r="B34" s="90"/>
      <x:c r="C34" s="90"/>
      <x:c r="D34" s="90"/>
      <x:c r="E34" s="90"/>
      <x:c r="F34" s="90"/>
      <x:c r="G34" s="90"/>
      <x:c r="H34" s="90"/>
      <x:c r="I34" s="90"/>
      <x:c r="J34" s="90"/>
      <x:c r="K34" s="90"/>
      <x:c r="L34" s="90"/>
      <x:c r="M34" s="90"/>
      <x:c r="N34" s="90"/>
      <x:c r="O34" s="90"/>
      <x:c r="P34" s="90"/>
      <x:c r="Q34" s="90"/>
      <x:c r="R34" s="90"/>
      <x:c r="S34" s="90"/>
      <x:c r="T34" s="90"/>
      <x:c r="U34" s="90"/>
      <x:c r="V34" s="90"/>
      <x:c r="W34" s="90"/>
      <x:c r="X34" s="90"/>
      <x:c r="Y34" s="90"/>
      <x:c r="Z34" s="90"/>
    </x:row>
    <x:row r="35">
      <x:c r="A35" s="90"/>
      <x:c r="B35" s="90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N35" s="90"/>
      <x:c r="O35" s="90"/>
      <x:c r="P35" s="90"/>
      <x:c r="Q35" s="90"/>
      <x:c r="R35" s="90"/>
      <x:c r="S35" s="90"/>
      <x:c r="T35" s="90"/>
      <x:c r="U35" s="90"/>
      <x:c r="V35" s="90"/>
      <x:c r="W35" s="90"/>
      <x:c r="X35" s="90"/>
      <x:c r="Y35" s="90"/>
      <x:c r="Z35" s="90"/>
    </x:row>
    <x:row r="36">
      <x:c r="A36" s="90"/>
      <x:c r="B36" s="90"/>
      <x:c r="C36" s="90"/>
      <x:c r="D36" s="90"/>
      <x:c r="E36" s="90"/>
      <x:c r="F36" s="90"/>
      <x:c r="G36" s="90"/>
      <x:c r="H36" s="90"/>
      <x:c r="I36" s="90"/>
      <x:c r="J36" s="90"/>
      <x:c r="K36" s="90"/>
      <x:c r="L36" s="90"/>
      <x:c r="M36" s="90"/>
      <x:c r="N36" s="90"/>
      <x:c r="O36" s="90"/>
      <x:c r="P36" s="90"/>
      <x:c r="Q36" s="90"/>
      <x:c r="R36" s="90"/>
      <x:c r="S36" s="90"/>
      <x:c r="T36" s="90"/>
      <x:c r="U36" s="90"/>
      <x:c r="V36" s="90"/>
      <x:c r="W36" s="90"/>
      <x:c r="X36" s="90"/>
      <x:c r="Y36" s="90"/>
      <x:c r="Z36" s="90"/>
    </x:row>
    <x:row r="37">
      <x:c r="A37" s="90"/>
      <x:c r="B37" s="90"/>
      <x:c r="C37" s="90"/>
      <x:c r="D37" s="90"/>
      <x:c r="E37" s="90"/>
      <x:c r="F37" s="90"/>
      <x:c r="G37" s="90"/>
      <x:c r="H37" s="90"/>
      <x:c r="I37" s="90"/>
      <x:c r="J37" s="90"/>
      <x:c r="K37" s="90"/>
      <x:c r="L37" s="90"/>
      <x:c r="M37" s="90"/>
      <x:c r="N37" s="90"/>
      <x:c r="O37" s="90"/>
      <x:c r="P37" s="90"/>
      <x:c r="Q37" s="90"/>
      <x:c r="R37" s="90"/>
      <x:c r="S37" s="90"/>
      <x:c r="T37" s="90"/>
      <x:c r="U37" s="90"/>
      <x:c r="V37" s="90"/>
      <x:c r="W37" s="90"/>
      <x:c r="X37" s="90"/>
      <x:c r="Y37" s="90"/>
      <x:c r="Z37" s="90"/>
    </x:row>
    <x:row r="38">
      <x:c r="A38" s="90"/>
      <x:c r="B38" s="90"/>
      <x:c r="C38" s="90"/>
      <x:c r="D38" s="90"/>
      <x:c r="E38" s="90"/>
      <x:c r="F38" s="90"/>
      <x:c r="G38" s="90"/>
      <x:c r="H38" s="90"/>
      <x:c r="I38" s="90"/>
      <x:c r="J38" s="90"/>
      <x:c r="K38" s="90"/>
      <x:c r="L38" s="90"/>
      <x:c r="M38" s="90"/>
      <x:c r="N38" s="90"/>
      <x:c r="O38" s="90"/>
      <x:c r="P38" s="90"/>
      <x:c r="Q38" s="90"/>
      <x:c r="R38" s="90"/>
      <x:c r="S38" s="90"/>
      <x:c r="T38" s="90"/>
      <x:c r="U38" s="90"/>
      <x:c r="V38" s="90"/>
      <x:c r="W38" s="90"/>
      <x:c r="X38" s="90"/>
      <x:c r="Y38" s="90"/>
      <x:c r="Z38" s="90"/>
    </x:row>
    <x:row r="39">
      <x:c r="A39" s="90"/>
      <x:c r="B39" s="90"/>
      <x:c r="C39" s="90"/>
      <x:c r="D39" s="90"/>
      <x:c r="E39" s="90"/>
      <x:c r="F39" s="90"/>
      <x:c r="G39" s="90"/>
      <x:c r="H39" s="90"/>
      <x:c r="I39" s="90"/>
      <x:c r="J39" s="90"/>
      <x:c r="K39" s="90"/>
      <x:c r="L39" s="90"/>
      <x:c r="M39" s="90"/>
      <x:c r="N39" s="90"/>
      <x:c r="O39" s="90"/>
      <x:c r="P39" s="90"/>
      <x:c r="Q39" s="90"/>
      <x:c r="R39" s="90"/>
      <x:c r="S39" s="90"/>
      <x:c r="T39" s="90"/>
      <x:c r="U39" s="90"/>
      <x:c r="V39" s="90"/>
      <x:c r="W39" s="90"/>
      <x:c r="X39" s="90"/>
      <x:c r="Y39" s="90"/>
      <x:c r="Z39" s="90"/>
    </x:row>
    <x:row r="40">
      <x:c r="A40" s="90"/>
      <x:c r="B40" s="90"/>
      <x:c r="C40" s="90"/>
      <x:c r="D40" s="90"/>
      <x:c r="E40" s="90"/>
      <x:c r="F40" s="90"/>
      <x:c r="G40" s="90"/>
      <x:c r="H40" s="90"/>
      <x:c r="I40" s="90"/>
      <x:c r="J40" s="90"/>
      <x:c r="K40" s="90"/>
      <x:c r="L40" s="90"/>
      <x:c r="M40" s="90"/>
      <x:c r="N40" s="90"/>
      <x:c r="O40" s="90"/>
      <x:c r="P40" s="90"/>
      <x:c r="Q40" s="90"/>
      <x:c r="R40" s="90"/>
      <x:c r="S40" s="90"/>
      <x:c r="T40" s="90"/>
      <x:c r="U40" s="90"/>
      <x:c r="V40" s="90"/>
      <x:c r="W40" s="90"/>
      <x:c r="X40" s="90"/>
      <x:c r="Y40" s="90"/>
      <x:c r="Z40" s="90"/>
    </x:row>
    <x:row r="41">
      <x:c r="A41" s="90"/>
      <x:c r="B41" s="90"/>
      <x:c r="C41" s="90"/>
      <x:c r="D41" s="90"/>
      <x:c r="E41" s="90"/>
      <x:c r="F41" s="90"/>
      <x:c r="G41" s="90"/>
      <x:c r="H41" s="90"/>
      <x:c r="I41" s="90"/>
      <x:c r="J41" s="90"/>
      <x:c r="K41" s="90"/>
      <x:c r="L41" s="90"/>
      <x:c r="M41" s="90"/>
      <x:c r="N41" s="90"/>
      <x:c r="O41" s="90"/>
      <x:c r="P41" s="90"/>
      <x:c r="Q41" s="90"/>
      <x:c r="R41" s="90"/>
      <x:c r="S41" s="90"/>
      <x:c r="T41" s="90"/>
      <x:c r="U41" s="90"/>
      <x:c r="V41" s="90"/>
      <x:c r="W41" s="90"/>
      <x:c r="X41" s="90"/>
      <x:c r="Y41" s="90"/>
      <x:c r="Z41" s="90"/>
    </x:row>
    <x:row r="42">
      <x:c r="A42" s="90"/>
      <x:c r="B42" s="90"/>
      <x:c r="C42" s="90"/>
      <x:c r="D42" s="90"/>
      <x:c r="E42" s="90"/>
      <x:c r="F42" s="90"/>
      <x:c r="G42" s="90"/>
      <x:c r="H42" s="90"/>
      <x:c r="I42" s="90"/>
      <x:c r="J42" s="90"/>
      <x:c r="K42" s="90"/>
      <x:c r="L42" s="90"/>
      <x:c r="M42" s="90"/>
      <x:c r="N42" s="90"/>
      <x:c r="O42" s="90"/>
      <x:c r="P42" s="90"/>
      <x:c r="Q42" s="90"/>
      <x:c r="R42" s="90"/>
      <x:c r="S42" s="90"/>
      <x:c r="T42" s="90"/>
      <x:c r="U42" s="90"/>
      <x:c r="V42" s="90"/>
      <x:c r="W42" s="90"/>
      <x:c r="X42" s="90"/>
      <x:c r="Y42" s="90"/>
      <x:c r="Z42" s="90"/>
    </x:row>
    <x:row r="43">
      <x:c r="A43" s="90"/>
      <x:c r="B43" s="90"/>
      <x:c r="C43" s="90"/>
      <x:c r="D43" s="90"/>
      <x:c r="E43" s="90"/>
      <x:c r="F43" s="90"/>
      <x:c r="G43" s="90"/>
      <x:c r="H43" s="90"/>
      <x:c r="I43" s="90"/>
      <x:c r="J43" s="90"/>
      <x:c r="K43" s="90"/>
      <x:c r="L43" s="90"/>
      <x:c r="M43" s="90"/>
      <x:c r="N43" s="90"/>
      <x:c r="O43" s="90"/>
      <x:c r="P43" s="90"/>
      <x:c r="Q43" s="90"/>
      <x:c r="R43" s="90"/>
      <x:c r="S43" s="90"/>
      <x:c r="T43" s="90"/>
      <x:c r="U43" s="90"/>
      <x:c r="V43" s="90"/>
      <x:c r="W43" s="90"/>
      <x:c r="X43" s="90"/>
      <x:c r="Y43" s="90"/>
      <x:c r="Z43" s="90"/>
    </x:row>
    <x:row r="44">
      <x:c r="A44" s="90"/>
      <x:c r="B44" s="90"/>
      <x:c r="C44" s="90"/>
      <x:c r="D44" s="90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  <x:c r="R44" s="90"/>
      <x:c r="S44" s="90"/>
      <x:c r="T44" s="90"/>
      <x:c r="U44" s="90"/>
      <x:c r="V44" s="90"/>
      <x:c r="W44" s="90"/>
      <x:c r="X44" s="90"/>
      <x:c r="Y44" s="90"/>
      <x:c r="Z44" s="90"/>
    </x:row>
    <x:row r="45">
      <x:c r="A45" s="90"/>
      <x:c r="B45" s="90"/>
      <x:c r="C45" s="90"/>
      <x:c r="D45" s="90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  <x:c r="R45" s="90"/>
      <x:c r="S45" s="90"/>
      <x:c r="T45" s="90"/>
      <x:c r="U45" s="90"/>
      <x:c r="V45" s="90"/>
      <x:c r="W45" s="90"/>
      <x:c r="X45" s="90"/>
      <x:c r="Y45" s="90"/>
      <x:c r="Z45" s="90"/>
    </x:row>
    <x:row r="46">
      <x:c r="A46" s="90"/>
      <x:c r="B46" s="90"/>
      <x:c r="C46" s="90"/>
      <x:c r="D46" s="90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  <x:c r="R46" s="90"/>
      <x:c r="S46" s="90"/>
      <x:c r="T46" s="90"/>
      <x:c r="U46" s="90"/>
      <x:c r="V46" s="90"/>
      <x:c r="W46" s="90"/>
      <x:c r="X46" s="90"/>
      <x:c r="Y46" s="90"/>
      <x:c r="Z46" s="90"/>
    </x:row>
    <x:row r="47">
      <x:c r="A47" s="90"/>
      <x:c r="B47" s="90"/>
      <x:c r="C47" s="90"/>
      <x:c r="D47" s="90"/>
      <x:c r="E47" s="90"/>
      <x:c r="F47" s="90"/>
      <x:c r="G47" s="90"/>
      <x:c r="H47" s="90"/>
      <x:c r="I47" s="90"/>
      <x:c r="J47" s="90"/>
      <x:c r="K47" s="90"/>
      <x:c r="L47" s="90"/>
      <x:c r="M47" s="90"/>
      <x:c r="N47" s="90"/>
      <x:c r="O47" s="90"/>
      <x:c r="P47" s="90"/>
      <x:c r="Q47" s="90"/>
      <x:c r="R47" s="90"/>
      <x:c r="S47" s="90"/>
      <x:c r="T47" s="90"/>
      <x:c r="U47" s="90"/>
      <x:c r="V47" s="90"/>
      <x:c r="W47" s="90"/>
      <x:c r="X47" s="90"/>
      <x:c r="Y47" s="90"/>
      <x:c r="Z47" s="90"/>
    </x:row>
    <x:row r="48">
      <x:c r="A48" s="90"/>
      <x:c r="B48" s="90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  <x:c r="R48" s="90"/>
      <x:c r="S48" s="90"/>
      <x:c r="T48" s="90"/>
      <x:c r="U48" s="90"/>
      <x:c r="V48" s="90"/>
      <x:c r="W48" s="90"/>
      <x:c r="X48" s="90"/>
      <x:c r="Y48" s="90"/>
      <x:c r="Z48" s="90"/>
    </x:row>
    <x:row r="49">
      <x:c r="A49" s="90"/>
      <x:c r="B49" s="90"/>
      <x:c r="C49" s="90"/>
      <x:c r="D49" s="90"/>
      <x:c r="E49" s="90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  <x:c r="R49" s="90"/>
      <x:c r="S49" s="90"/>
      <x:c r="T49" s="90"/>
      <x:c r="U49" s="90"/>
      <x:c r="V49" s="90"/>
      <x:c r="W49" s="90"/>
      <x:c r="X49" s="90"/>
      <x:c r="Y49" s="90"/>
      <x:c r="Z49" s="90"/>
    </x:row>
    <x:row r="50">
      <x:c r="A50" s="90"/>
      <x:c r="B50" s="90"/>
      <x:c r="C50" s="90"/>
      <x:c r="D50" s="90"/>
      <x:c r="E50" s="90"/>
      <x:c r="F50" s="90"/>
      <x:c r="G50" s="90"/>
      <x:c r="H50" s="90"/>
      <x:c r="I50" s="90"/>
      <x:c r="J50" s="90"/>
      <x:c r="K50" s="90"/>
      <x:c r="L50" s="90"/>
      <x:c r="M50" s="90"/>
      <x:c r="N50" s="90"/>
      <x:c r="O50" s="90"/>
      <x:c r="P50" s="90"/>
      <x:c r="Q50" s="90"/>
      <x:c r="R50" s="90"/>
      <x:c r="S50" s="90"/>
      <x:c r="T50" s="90"/>
      <x:c r="U50" s="90"/>
      <x:c r="V50" s="90"/>
      <x:c r="W50" s="90"/>
      <x:c r="X50" s="90"/>
      <x:c r="Y50" s="90"/>
      <x:c r="Z50" s="90"/>
    </x:row>
    <x:row r="51">
      <x:c r="A51" s="90"/>
      <x:c r="B51" s="90"/>
      <x:c r="C51" s="90"/>
      <x:c r="D51" s="90"/>
      <x:c r="E51" s="90"/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  <x:c r="R51" s="90"/>
      <x:c r="S51" s="90"/>
      <x:c r="T51" s="90"/>
      <x:c r="U51" s="90"/>
      <x:c r="V51" s="90"/>
      <x:c r="W51" s="90"/>
      <x:c r="X51" s="90"/>
      <x:c r="Y51" s="90"/>
      <x:c r="Z51" s="90"/>
    </x:row>
    <x:row r="52">
      <x:c r="A52" s="90"/>
      <x:c r="B52" s="90"/>
      <x:c r="C52" s="90"/>
      <x:c r="D52" s="90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  <x:c r="R52" s="90"/>
      <x:c r="S52" s="90"/>
      <x:c r="T52" s="90"/>
      <x:c r="U52" s="90"/>
      <x:c r="V52" s="90"/>
      <x:c r="W52" s="90"/>
      <x:c r="X52" s="90"/>
      <x:c r="Y52" s="90"/>
      <x:c r="Z52" s="90"/>
    </x:row>
    <x:row r="53">
      <x:c r="A53" s="90"/>
      <x:c r="B53" s="90"/>
      <x:c r="C53" s="90"/>
      <x:c r="D53" s="90"/>
      <x:c r="E53" s="90"/>
      <x:c r="F53" s="90"/>
      <x:c r="G53" s="90"/>
      <x:c r="H53" s="90"/>
      <x:c r="I53" s="90"/>
      <x:c r="J53" s="90"/>
      <x:c r="K53" s="90"/>
      <x:c r="L53" s="90"/>
      <x:c r="M53" s="90"/>
      <x:c r="N53" s="90"/>
      <x:c r="O53" s="90"/>
      <x:c r="P53" s="90"/>
      <x:c r="Q53" s="90"/>
      <x:c r="R53" s="90"/>
      <x:c r="S53" s="90"/>
      <x:c r="T53" s="90"/>
      <x:c r="U53" s="90"/>
      <x:c r="V53" s="90"/>
      <x:c r="W53" s="90"/>
      <x:c r="X53" s="90"/>
      <x:c r="Y53" s="90"/>
      <x:c r="Z53" s="90"/>
    </x:row>
    <x:row r="54">
      <x:c r="A54" s="90"/>
      <x:c r="B54" s="90"/>
      <x:c r="C54" s="90"/>
      <x:c r="D54" s="90"/>
      <x:c r="E54" s="90"/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  <x:c r="R54" s="90"/>
      <x:c r="S54" s="90"/>
      <x:c r="T54" s="90"/>
      <x:c r="U54" s="90"/>
      <x:c r="V54" s="90"/>
      <x:c r="W54" s="90"/>
      <x:c r="X54" s="90"/>
      <x:c r="Y54" s="90"/>
      <x:c r="Z54" s="90"/>
    </x:row>
    <x:row r="55">
      <x:c r="A55" s="90"/>
      <x:c r="B55" s="90"/>
      <x:c r="C55" s="90"/>
      <x:c r="D55" s="90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  <x:c r="R55" s="90"/>
      <x:c r="S55" s="90"/>
      <x:c r="T55" s="90"/>
      <x:c r="U55" s="90"/>
      <x:c r="V55" s="90"/>
      <x:c r="W55" s="90"/>
      <x:c r="X55" s="90"/>
      <x:c r="Y55" s="90"/>
      <x:c r="Z55" s="90"/>
    </x:row>
    <x:row r="56">
      <x:c r="A56" s="90"/>
      <x:c r="B56" s="90"/>
      <x:c r="C56" s="90"/>
      <x:c r="D56" s="90"/>
      <x:c r="E56" s="90"/>
      <x:c r="F56" s="90"/>
      <x:c r="G56" s="90"/>
      <x:c r="H56" s="90"/>
      <x:c r="I56" s="90"/>
      <x:c r="J56" s="90"/>
      <x:c r="K56" s="90"/>
      <x:c r="L56" s="90"/>
      <x:c r="M56" s="90"/>
      <x:c r="N56" s="90"/>
      <x:c r="O56" s="90"/>
      <x:c r="P56" s="90"/>
      <x:c r="Q56" s="90"/>
      <x:c r="R56" s="90"/>
      <x:c r="S56" s="90"/>
      <x:c r="T56" s="90"/>
      <x:c r="U56" s="90"/>
      <x:c r="V56" s="90"/>
      <x:c r="W56" s="90"/>
      <x:c r="X56" s="90"/>
      <x:c r="Y56" s="90"/>
      <x:c r="Z56" s="90"/>
    </x:row>
    <x:row r="57">
      <x:c r="A57" s="90"/>
      <x:c r="B57" s="90"/>
      <x:c r="C57" s="90"/>
      <x:c r="D57" s="90"/>
      <x:c r="E57" s="90"/>
      <x:c r="F57" s="90"/>
      <x:c r="G57" s="90"/>
      <x:c r="H57" s="90"/>
      <x:c r="I57" s="90"/>
      <x:c r="J57" s="90"/>
      <x:c r="K57" s="90"/>
      <x:c r="L57" s="90"/>
      <x:c r="M57" s="90"/>
      <x:c r="N57" s="90"/>
      <x:c r="O57" s="90"/>
      <x:c r="P57" s="90"/>
      <x:c r="Q57" s="90"/>
      <x:c r="R57" s="90"/>
      <x:c r="S57" s="90"/>
      <x:c r="T57" s="90"/>
      <x:c r="U57" s="90"/>
      <x:c r="V57" s="90"/>
      <x:c r="W57" s="90"/>
      <x:c r="X57" s="90"/>
      <x:c r="Y57" s="90"/>
      <x:c r="Z57" s="90"/>
    </x:row>
    <x:row r="58">
      <x:c r="A58" s="90"/>
      <x:c r="B58" s="90"/>
      <x:c r="C58" s="90"/>
      <x:c r="D58" s="90"/>
      <x:c r="E58" s="90"/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  <x:c r="T58" s="90"/>
      <x:c r="U58" s="90"/>
      <x:c r="V58" s="90"/>
      <x:c r="W58" s="90"/>
      <x:c r="X58" s="90"/>
      <x:c r="Y58" s="90"/>
      <x:c r="Z58" s="90"/>
    </x:row>
    <x:row r="59">
      <x:c r="A59" s="90"/>
      <x:c r="B59" s="90"/>
      <x:c r="C59" s="90"/>
      <x:c r="D59" s="90"/>
      <x:c r="E59" s="90"/>
      <x:c r="F59" s="90"/>
      <x:c r="G59" s="90"/>
      <x:c r="H59" s="90"/>
      <x:c r="I59" s="90"/>
      <x:c r="J59" s="90"/>
      <x:c r="K59" s="90"/>
      <x:c r="L59" s="90"/>
      <x:c r="M59" s="90"/>
      <x:c r="N59" s="90"/>
      <x:c r="O59" s="90"/>
      <x:c r="P59" s="90"/>
      <x:c r="Q59" s="90"/>
      <x:c r="R59" s="90"/>
      <x:c r="S59" s="90"/>
      <x:c r="T59" s="90"/>
      <x:c r="U59" s="90"/>
      <x:c r="V59" s="90"/>
      <x:c r="W59" s="90"/>
      <x:c r="X59" s="90"/>
      <x:c r="Y59" s="90"/>
      <x:c r="Z59" s="90"/>
    </x:row>
    <x:row r="60">
      <x:c r="A60" s="90"/>
      <x:c r="B60" s="90"/>
      <x:c r="C60" s="90"/>
      <x:c r="D60" s="90"/>
      <x:c r="E60" s="90"/>
      <x:c r="F60" s="90"/>
      <x:c r="G60" s="90"/>
      <x:c r="H60" s="90"/>
      <x:c r="I60" s="90"/>
      <x:c r="J60" s="90"/>
      <x:c r="K60" s="90"/>
      <x:c r="L60" s="90"/>
      <x:c r="M60" s="90"/>
      <x:c r="N60" s="90"/>
      <x:c r="O60" s="90"/>
      <x:c r="P60" s="90"/>
      <x:c r="Q60" s="90"/>
      <x:c r="R60" s="90"/>
      <x:c r="S60" s="90"/>
      <x:c r="T60" s="90"/>
      <x:c r="U60" s="90"/>
      <x:c r="V60" s="90"/>
      <x:c r="W60" s="90"/>
      <x:c r="X60" s="90"/>
      <x:c r="Y60" s="90"/>
      <x:c r="Z60" s="90"/>
    </x:row>
    <x:row r="61">
      <x:c r="A61" s="90"/>
      <x:c r="B61" s="90"/>
      <x:c r="C61" s="90"/>
      <x:c r="D61" s="90"/>
      <x:c r="E61" s="90"/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  <x:c r="T61" s="90"/>
      <x:c r="U61" s="90"/>
      <x:c r="V61" s="90"/>
      <x:c r="W61" s="90"/>
      <x:c r="X61" s="90"/>
      <x:c r="Y61" s="90"/>
      <x:c r="Z61" s="90"/>
    </x:row>
    <x:row r="62">
      <x:c r="A62" s="90"/>
      <x:c r="B62" s="90"/>
      <x:c r="C62" s="90"/>
      <x:c r="D62" s="90"/>
      <x:c r="E62" s="90"/>
      <x:c r="F62" s="90"/>
      <x:c r="G62" s="90"/>
      <x:c r="H62" s="90"/>
      <x:c r="I62" s="90"/>
      <x:c r="J62" s="90"/>
      <x:c r="K62" s="90"/>
      <x:c r="L62" s="90"/>
      <x:c r="M62" s="90"/>
      <x:c r="N62" s="90"/>
      <x:c r="O62" s="90"/>
      <x:c r="P62" s="90"/>
      <x:c r="Q62" s="90"/>
      <x:c r="R62" s="90"/>
      <x:c r="S62" s="90"/>
      <x:c r="T62" s="90"/>
      <x:c r="U62" s="90"/>
      <x:c r="V62" s="90"/>
      <x:c r="W62" s="90"/>
      <x:c r="X62" s="90"/>
      <x:c r="Y62" s="90"/>
      <x:c r="Z62" s="90"/>
    </x:row>
    <x:row r="63">
      <x:c r="A63" s="90"/>
      <x:c r="B63" s="90"/>
      <x:c r="C63" s="90"/>
      <x:c r="D63" s="90"/>
      <x:c r="E63" s="90"/>
      <x:c r="F63" s="90"/>
      <x:c r="G63" s="90"/>
      <x:c r="H63" s="90"/>
      <x:c r="I63" s="90"/>
      <x:c r="J63" s="90"/>
      <x:c r="K63" s="90"/>
      <x:c r="L63" s="90"/>
      <x:c r="M63" s="90"/>
      <x:c r="N63" s="90"/>
      <x:c r="O63" s="90"/>
      <x:c r="P63" s="90"/>
      <x:c r="Q63" s="90"/>
      <x:c r="R63" s="90"/>
      <x:c r="S63" s="90"/>
      <x:c r="T63" s="90"/>
      <x:c r="U63" s="90"/>
      <x:c r="V63" s="90"/>
      <x:c r="W63" s="90"/>
      <x:c r="X63" s="90"/>
      <x:c r="Y63" s="90"/>
      <x:c r="Z63" s="90"/>
    </x:row>
    <x:row r="64">
      <x:c r="A64" s="90"/>
      <x:c r="B64" s="90"/>
      <x:c r="C64" s="90"/>
      <x:c r="D64" s="90"/>
      <x:c r="E64" s="90"/>
      <x:c r="F64" s="90"/>
      <x:c r="G64" s="90"/>
      <x:c r="H64" s="90"/>
      <x:c r="I64" s="90"/>
      <x:c r="J64" s="90"/>
      <x:c r="K64" s="90"/>
      <x:c r="L64" s="90"/>
      <x:c r="M64" s="90"/>
      <x:c r="N64" s="90"/>
      <x:c r="O64" s="90"/>
      <x:c r="P64" s="90"/>
      <x:c r="Q64" s="90"/>
      <x:c r="R64" s="90"/>
      <x:c r="S64" s="90"/>
      <x:c r="T64" s="90"/>
      <x:c r="U64" s="90"/>
      <x:c r="V64" s="90"/>
      <x:c r="W64" s="90"/>
      <x:c r="X64" s="90"/>
      <x:c r="Y64" s="90"/>
      <x:c r="Z64" s="90"/>
    </x:row>
    <x:row r="65">
      <x:c r="A65" s="90"/>
      <x:c r="B65" s="90"/>
      <x:c r="C65" s="90"/>
      <x:c r="D65" s="90"/>
      <x:c r="E65" s="90"/>
      <x:c r="F65" s="90"/>
      <x:c r="G65" s="90"/>
      <x:c r="H65" s="90"/>
      <x:c r="I65" s="90"/>
      <x:c r="J65" s="90"/>
      <x:c r="K65" s="90"/>
      <x:c r="L65" s="90"/>
      <x:c r="M65" s="90"/>
      <x:c r="N65" s="90"/>
      <x:c r="O65" s="90"/>
      <x:c r="P65" s="90"/>
      <x:c r="Q65" s="90"/>
      <x:c r="R65" s="90"/>
      <x:c r="S65" s="90"/>
      <x:c r="T65" s="90"/>
      <x:c r="U65" s="90"/>
      <x:c r="V65" s="90"/>
      <x:c r="W65" s="90"/>
      <x:c r="X65" s="90"/>
      <x:c r="Y65" s="90"/>
      <x:c r="Z65" s="90"/>
    </x:row>
    <x:row r="66">
      <x:c r="A66" s="90"/>
      <x:c r="B66" s="90"/>
      <x:c r="C66" s="90"/>
      <x:c r="D66" s="90"/>
      <x:c r="E66" s="90"/>
      <x:c r="F66" s="90"/>
      <x:c r="G66" s="90"/>
      <x:c r="H66" s="90"/>
      <x:c r="I66" s="90"/>
      <x:c r="J66" s="90"/>
      <x:c r="K66" s="90"/>
      <x:c r="L66" s="90"/>
      <x:c r="M66" s="90"/>
      <x:c r="N66" s="90"/>
      <x:c r="O66" s="90"/>
      <x:c r="P66" s="90"/>
      <x:c r="Q66" s="90"/>
      <x:c r="R66" s="90"/>
      <x:c r="S66" s="90"/>
      <x:c r="T66" s="90"/>
      <x:c r="U66" s="90"/>
      <x:c r="V66" s="90"/>
      <x:c r="W66" s="90"/>
      <x:c r="X66" s="90"/>
      <x:c r="Y66" s="90"/>
      <x:c r="Z66" s="90"/>
    </x:row>
    <x:row r="67">
      <x:c r="A67" s="90"/>
      <x:c r="B67" s="90"/>
      <x:c r="C67" s="90"/>
      <x:c r="D67" s="90"/>
      <x:c r="E67" s="90"/>
      <x:c r="F67" s="90"/>
      <x:c r="G67" s="90"/>
      <x:c r="H67" s="90"/>
      <x:c r="I67" s="90"/>
      <x:c r="J67" s="90"/>
      <x:c r="K67" s="90"/>
      <x:c r="L67" s="90"/>
      <x:c r="M67" s="90"/>
      <x:c r="N67" s="90"/>
      <x:c r="O67" s="90"/>
      <x:c r="P67" s="90"/>
      <x:c r="Q67" s="90"/>
      <x:c r="R67" s="90"/>
      <x:c r="S67" s="90"/>
      <x:c r="T67" s="90"/>
      <x:c r="U67" s="90"/>
      <x:c r="V67" s="90"/>
      <x:c r="W67" s="90"/>
      <x:c r="X67" s="90"/>
      <x:c r="Y67" s="90"/>
      <x:c r="Z67" s="90"/>
    </x:row>
    <x:row r="68">
      <x:c r="A68" s="90"/>
      <x:c r="B68" s="90"/>
      <x:c r="C68" s="90"/>
      <x:c r="D68" s="90"/>
      <x:c r="E68" s="90"/>
      <x:c r="F68" s="90"/>
      <x:c r="G68" s="90"/>
      <x:c r="H68" s="90"/>
      <x:c r="I68" s="90"/>
      <x:c r="J68" s="90"/>
      <x:c r="K68" s="90"/>
      <x:c r="L68" s="90"/>
      <x:c r="M68" s="90"/>
      <x:c r="N68" s="90"/>
      <x:c r="O68" s="90"/>
      <x:c r="P68" s="90"/>
      <x:c r="Q68" s="90"/>
      <x:c r="R68" s="90"/>
      <x:c r="S68" s="90"/>
      <x:c r="T68" s="90"/>
      <x:c r="U68" s="90"/>
      <x:c r="V68" s="90"/>
      <x:c r="W68" s="90"/>
      <x:c r="X68" s="90"/>
      <x:c r="Y68" s="90"/>
      <x:c r="Z68" s="90"/>
    </x:row>
    <x:row r="69">
      <x:c r="A69" s="90"/>
      <x:c r="B69" s="90"/>
      <x:c r="C69" s="90"/>
      <x:c r="D69" s="90"/>
      <x:c r="E69" s="90"/>
      <x:c r="F69" s="90"/>
      <x:c r="G69" s="90"/>
      <x:c r="H69" s="90"/>
      <x:c r="I69" s="90"/>
      <x:c r="J69" s="90"/>
      <x:c r="K69" s="90"/>
      <x:c r="L69" s="90"/>
      <x:c r="M69" s="90"/>
      <x:c r="N69" s="90"/>
      <x:c r="O69" s="90"/>
      <x:c r="P69" s="90"/>
      <x:c r="Q69" s="90"/>
      <x:c r="R69" s="90"/>
      <x:c r="S69" s="90"/>
      <x:c r="T69" s="90"/>
      <x:c r="U69" s="90"/>
      <x:c r="V69" s="90"/>
      <x:c r="W69" s="90"/>
      <x:c r="X69" s="90"/>
      <x:c r="Y69" s="90"/>
      <x:c r="Z69" s="90"/>
    </x:row>
    <x:row r="70">
      <x:c r="A70" s="90"/>
      <x:c r="B70" s="90"/>
      <x:c r="C70" s="90"/>
      <x:c r="D70" s="90"/>
      <x:c r="E70" s="90"/>
      <x:c r="F70" s="90"/>
      <x:c r="G70" s="90"/>
      <x:c r="H70" s="90"/>
      <x:c r="I70" s="90"/>
      <x:c r="J70" s="90"/>
      <x:c r="K70" s="90"/>
      <x:c r="L70" s="90"/>
      <x:c r="M70" s="90"/>
      <x:c r="N70" s="90"/>
      <x:c r="O70" s="90"/>
      <x:c r="P70" s="90"/>
      <x:c r="Q70" s="90"/>
      <x:c r="R70" s="90"/>
      <x:c r="S70" s="90"/>
      <x:c r="T70" s="90"/>
      <x:c r="U70" s="90"/>
      <x:c r="V70" s="90"/>
      <x:c r="W70" s="90"/>
      <x:c r="X70" s="90"/>
      <x:c r="Y70" s="90"/>
      <x:c r="Z70" s="90"/>
    </x:row>
    <x:row r="71">
      <x:c r="A71" s="90"/>
      <x:c r="B71" s="90"/>
      <x:c r="C71" s="90"/>
      <x:c r="D71" s="90"/>
      <x:c r="E71" s="90"/>
      <x:c r="F71" s="90"/>
      <x:c r="G71" s="90"/>
      <x:c r="H71" s="90"/>
      <x:c r="I71" s="90"/>
      <x:c r="J71" s="90"/>
      <x:c r="K71" s="90"/>
      <x:c r="L71" s="90"/>
      <x:c r="M71" s="90"/>
      <x:c r="N71" s="90"/>
      <x:c r="O71" s="90"/>
      <x:c r="P71" s="90"/>
      <x:c r="Q71" s="90"/>
      <x:c r="R71" s="90"/>
      <x:c r="S71" s="90"/>
      <x:c r="T71" s="90"/>
      <x:c r="U71" s="90"/>
      <x:c r="V71" s="90"/>
      <x:c r="W71" s="90"/>
      <x:c r="X71" s="90"/>
      <x:c r="Y71" s="90"/>
      <x:c r="Z71" s="90"/>
    </x:row>
    <x:row r="72">
      <x:c r="A72" s="90"/>
      <x:c r="B72" s="90"/>
      <x:c r="C72" s="90"/>
      <x:c r="D72" s="90"/>
      <x:c r="E72" s="90"/>
      <x:c r="F72" s="90"/>
      <x:c r="G72" s="90"/>
      <x:c r="H72" s="90"/>
      <x:c r="I72" s="90"/>
      <x:c r="J72" s="90"/>
      <x:c r="K72" s="90"/>
      <x:c r="L72" s="90"/>
      <x:c r="M72" s="90"/>
      <x:c r="N72" s="90"/>
      <x:c r="O72" s="90"/>
      <x:c r="P72" s="90"/>
      <x:c r="Q72" s="90"/>
      <x:c r="R72" s="90"/>
      <x:c r="S72" s="90"/>
      <x:c r="T72" s="90"/>
      <x:c r="U72" s="90"/>
      <x:c r="V72" s="90"/>
      <x:c r="W72" s="90"/>
      <x:c r="X72" s="90"/>
      <x:c r="Y72" s="90"/>
      <x:c r="Z72" s="90"/>
    </x:row>
    <x:row r="73">
      <x:c r="A73" s="90"/>
      <x:c r="B73" s="90"/>
      <x:c r="C73" s="90"/>
      <x:c r="D73" s="90"/>
      <x:c r="E73" s="90"/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  <x:c r="S73" s="90"/>
      <x:c r="T73" s="90"/>
      <x:c r="U73" s="90"/>
      <x:c r="V73" s="90"/>
      <x:c r="W73" s="90"/>
      <x:c r="X73" s="90"/>
      <x:c r="Y73" s="90"/>
      <x:c r="Z73" s="90"/>
    </x:row>
    <x:row r="74">
      <x:c r="A74" s="90"/>
      <x:c r="B74" s="90"/>
      <x:c r="C74" s="90"/>
      <x:c r="D74" s="90"/>
      <x:c r="E74" s="90"/>
      <x:c r="F74" s="90"/>
      <x:c r="G74" s="90"/>
      <x:c r="H74" s="90"/>
      <x:c r="I74" s="90"/>
      <x:c r="J74" s="90"/>
      <x:c r="K74" s="90"/>
      <x:c r="L74" s="90"/>
      <x:c r="M74" s="90"/>
      <x:c r="N74" s="90"/>
      <x:c r="O74" s="90"/>
      <x:c r="P74" s="90"/>
      <x:c r="Q74" s="90"/>
      <x:c r="R74" s="90"/>
      <x:c r="S74" s="90"/>
      <x:c r="T74" s="90"/>
      <x:c r="U74" s="90"/>
      <x:c r="V74" s="90"/>
      <x:c r="W74" s="90"/>
      <x:c r="X74" s="90"/>
      <x:c r="Y74" s="90"/>
      <x:c r="Z74" s="90"/>
    </x:row>
    <x:row r="75">
      <x:c r="A75" s="90"/>
      <x:c r="B75" s="90"/>
      <x:c r="C75" s="90"/>
      <x:c r="D75" s="90"/>
      <x:c r="E75" s="90"/>
      <x:c r="F75" s="90"/>
      <x:c r="G75" s="90"/>
      <x:c r="H75" s="90"/>
      <x:c r="I75" s="90"/>
      <x:c r="J75" s="90"/>
      <x:c r="K75" s="90"/>
      <x:c r="L75" s="90"/>
      <x:c r="M75" s="90"/>
      <x:c r="N75" s="90"/>
      <x:c r="O75" s="90"/>
      <x:c r="P75" s="90"/>
      <x:c r="Q75" s="90"/>
      <x:c r="R75" s="90"/>
      <x:c r="S75" s="90"/>
      <x:c r="T75" s="90"/>
      <x:c r="U75" s="90"/>
      <x:c r="V75" s="90"/>
      <x:c r="W75" s="90"/>
      <x:c r="X75" s="90"/>
      <x:c r="Y75" s="90"/>
      <x:c r="Z75" s="90"/>
    </x:row>
    <x:row r="76">
      <x:c r="A76" s="90"/>
      <x:c r="B76" s="90"/>
      <x:c r="C76" s="90"/>
      <x:c r="D76" s="90"/>
      <x:c r="E76" s="90"/>
      <x:c r="F76" s="90"/>
      <x:c r="G76" s="90"/>
      <x:c r="H76" s="90"/>
      <x:c r="I76" s="90"/>
      <x:c r="J76" s="90"/>
      <x:c r="K76" s="90"/>
      <x:c r="L76" s="90"/>
      <x:c r="M76" s="90"/>
      <x:c r="N76" s="90"/>
      <x:c r="O76" s="90"/>
      <x:c r="P76" s="90"/>
      <x:c r="Q76" s="90"/>
      <x:c r="R76" s="90"/>
      <x:c r="S76" s="90"/>
      <x:c r="T76" s="90"/>
      <x:c r="U76" s="90"/>
      <x:c r="V76" s="90"/>
      <x:c r="W76" s="90"/>
      <x:c r="X76" s="90"/>
      <x:c r="Y76" s="90"/>
      <x:c r="Z76" s="90"/>
    </x:row>
    <x:row r="77">
      <x:c r="A77" s="90"/>
      <x:c r="B77" s="90"/>
      <x:c r="C77" s="90"/>
      <x:c r="D77" s="90"/>
      <x:c r="E77" s="90"/>
      <x:c r="F77" s="90"/>
      <x:c r="G77" s="90"/>
      <x:c r="H77" s="90"/>
      <x:c r="I77" s="90"/>
      <x:c r="J77" s="90"/>
      <x:c r="K77" s="90"/>
      <x:c r="L77" s="90"/>
      <x:c r="M77" s="90"/>
      <x:c r="N77" s="90"/>
      <x:c r="O77" s="90"/>
      <x:c r="P77" s="90"/>
      <x:c r="Q77" s="90"/>
      <x:c r="R77" s="90"/>
      <x:c r="S77" s="90"/>
      <x:c r="T77" s="90"/>
      <x:c r="U77" s="90"/>
      <x:c r="V77" s="90"/>
      <x:c r="W77" s="90"/>
      <x:c r="X77" s="90"/>
      <x:c r="Y77" s="90"/>
      <x:c r="Z77" s="90"/>
    </x:row>
    <x:row r="78">
      <x:c r="A78" s="90"/>
      <x:c r="B78" s="90"/>
      <x:c r="C78" s="90"/>
      <x:c r="D78" s="90"/>
      <x:c r="E78" s="90"/>
      <x:c r="F78" s="90"/>
      <x:c r="G78" s="90"/>
      <x:c r="H78" s="90"/>
      <x:c r="I78" s="90"/>
      <x:c r="J78" s="90"/>
      <x:c r="K78" s="90"/>
      <x:c r="L78" s="90"/>
      <x:c r="M78" s="90"/>
      <x:c r="N78" s="90"/>
      <x:c r="O78" s="90"/>
      <x:c r="P78" s="90"/>
      <x:c r="Q78" s="90"/>
      <x:c r="R78" s="90"/>
      <x:c r="S78" s="90"/>
      <x:c r="T78" s="90"/>
      <x:c r="U78" s="90"/>
      <x:c r="V78" s="90"/>
      <x:c r="W78" s="90"/>
      <x:c r="X78" s="90"/>
      <x:c r="Y78" s="90"/>
      <x:c r="Z78" s="90"/>
    </x:row>
    <x:row r="79">
      <x:c r="A79" s="90"/>
      <x:c r="B79" s="90"/>
      <x:c r="C79" s="90"/>
      <x:c r="D79" s="90"/>
      <x:c r="E79" s="90"/>
      <x:c r="F79" s="90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90"/>
      <x:c r="R79" s="90"/>
      <x:c r="S79" s="90"/>
      <x:c r="T79" s="90"/>
      <x:c r="U79" s="90"/>
      <x:c r="V79" s="90"/>
      <x:c r="W79" s="90"/>
      <x:c r="X79" s="90"/>
      <x:c r="Y79" s="90"/>
      <x:c r="Z79" s="90"/>
    </x:row>
    <x:row r="80">
      <x:c r="A80" s="90"/>
      <x:c r="B80" s="90"/>
      <x:c r="C80" s="90"/>
      <x:c r="D80" s="90"/>
      <x:c r="E80" s="90"/>
      <x:c r="F80" s="90"/>
      <x:c r="G80" s="90"/>
      <x:c r="H80" s="90"/>
      <x:c r="I80" s="90"/>
      <x:c r="J80" s="90"/>
      <x:c r="K80" s="90"/>
      <x:c r="L80" s="90"/>
      <x:c r="M80" s="90"/>
      <x:c r="N80" s="90"/>
      <x:c r="O80" s="90"/>
      <x:c r="P80" s="90"/>
      <x:c r="Q80" s="90"/>
      <x:c r="R80" s="90"/>
      <x:c r="S80" s="90"/>
      <x:c r="T80" s="90"/>
      <x:c r="U80" s="90"/>
      <x:c r="V80" s="90"/>
      <x:c r="W80" s="90"/>
      <x:c r="X80" s="90"/>
      <x:c r="Y80" s="90"/>
      <x:c r="Z80" s="90"/>
    </x:row>
    <x:row r="81">
      <x:c r="A81" s="90"/>
      <x:c r="B81" s="90"/>
      <x:c r="C81" s="90"/>
      <x:c r="D81" s="90"/>
      <x:c r="E81" s="90"/>
      <x:c r="F81" s="90"/>
      <x:c r="G81" s="90"/>
      <x:c r="H81" s="90"/>
      <x:c r="I81" s="90"/>
      <x:c r="J81" s="90"/>
      <x:c r="K81" s="90"/>
      <x:c r="L81" s="90"/>
      <x:c r="M81" s="90"/>
      <x:c r="N81" s="90"/>
      <x:c r="O81" s="90"/>
      <x:c r="P81" s="90"/>
      <x:c r="Q81" s="90"/>
      <x:c r="R81" s="90"/>
      <x:c r="S81" s="90"/>
      <x:c r="T81" s="90"/>
      <x:c r="U81" s="90"/>
      <x:c r="V81" s="90"/>
      <x:c r="W81" s="90"/>
      <x:c r="X81" s="90"/>
      <x:c r="Y81" s="90"/>
      <x:c r="Z81" s="90"/>
    </x:row>
    <x:row r="82">
      <x:c r="A82" s="90"/>
      <x:c r="B82" s="90"/>
      <x:c r="C82" s="90"/>
      <x:c r="D82" s="90"/>
      <x:c r="E82" s="90"/>
      <x:c r="F82" s="90"/>
      <x:c r="G82" s="90"/>
      <x:c r="H82" s="90"/>
      <x:c r="I82" s="90"/>
      <x:c r="J82" s="90"/>
      <x:c r="K82" s="90"/>
      <x:c r="L82" s="90"/>
      <x:c r="M82" s="90"/>
      <x:c r="N82" s="90"/>
      <x:c r="O82" s="90"/>
      <x:c r="P82" s="90"/>
      <x:c r="Q82" s="90"/>
      <x:c r="R82" s="90"/>
      <x:c r="S82" s="90"/>
      <x:c r="T82" s="90"/>
      <x:c r="U82" s="90"/>
      <x:c r="V82" s="90"/>
      <x:c r="W82" s="90"/>
      <x:c r="X82" s="90"/>
      <x:c r="Y82" s="90"/>
      <x:c r="Z82" s="90"/>
    </x:row>
    <x:row r="83">
      <x:c r="A83" s="90"/>
      <x:c r="B83" s="90"/>
      <x:c r="C83" s="90"/>
      <x:c r="D83" s="90"/>
      <x:c r="E83" s="90"/>
      <x:c r="F83" s="90"/>
      <x:c r="G83" s="90"/>
      <x:c r="H83" s="90"/>
      <x:c r="I83" s="90"/>
      <x:c r="J83" s="90"/>
      <x:c r="K83" s="90"/>
      <x:c r="L83" s="90"/>
      <x:c r="M83" s="90"/>
      <x:c r="N83" s="90"/>
      <x:c r="O83" s="90"/>
      <x:c r="P83" s="90"/>
      <x:c r="Q83" s="90"/>
      <x:c r="R83" s="90"/>
      <x:c r="S83" s="90"/>
      <x:c r="T83" s="90"/>
      <x:c r="U83" s="90"/>
      <x:c r="V83" s="90"/>
      <x:c r="W83" s="90"/>
      <x:c r="X83" s="90"/>
      <x:c r="Y83" s="90"/>
      <x:c r="Z83" s="90"/>
    </x:row>
    <x:row r="84">
      <x:c r="A84" s="90"/>
      <x:c r="B84" s="90"/>
      <x:c r="C84" s="90"/>
      <x:c r="D84" s="90"/>
      <x:c r="E84" s="90"/>
      <x:c r="F84" s="90"/>
      <x:c r="G84" s="90"/>
      <x:c r="H84" s="90"/>
      <x:c r="I84" s="90"/>
      <x:c r="J84" s="90"/>
      <x:c r="K84" s="90"/>
      <x:c r="L84" s="90"/>
      <x:c r="M84" s="90"/>
      <x:c r="N84" s="90"/>
      <x:c r="O84" s="90"/>
      <x:c r="P84" s="90"/>
      <x:c r="Q84" s="90"/>
      <x:c r="R84" s="90"/>
      <x:c r="S84" s="90"/>
      <x:c r="T84" s="90"/>
      <x:c r="U84" s="90"/>
      <x:c r="V84" s="90"/>
      <x:c r="W84" s="90"/>
      <x:c r="X84" s="90"/>
      <x:c r="Y84" s="90"/>
      <x:c r="Z84" s="90"/>
    </x:row>
    <x:row r="85">
      <x:c r="A85" s="90"/>
      <x:c r="B85" s="90"/>
      <x:c r="C85" s="90"/>
      <x:c r="D85" s="90"/>
      <x:c r="E85" s="90"/>
      <x:c r="F85" s="90"/>
      <x:c r="G85" s="90"/>
      <x:c r="H85" s="90"/>
      <x:c r="I85" s="90"/>
      <x:c r="J85" s="90"/>
      <x:c r="K85" s="90"/>
      <x:c r="L85" s="90"/>
      <x:c r="M85" s="90"/>
      <x:c r="N85" s="90"/>
      <x:c r="O85" s="90"/>
      <x:c r="P85" s="90"/>
      <x:c r="Q85" s="90"/>
      <x:c r="R85" s="90"/>
      <x:c r="S85" s="90"/>
      <x:c r="T85" s="90"/>
      <x:c r="U85" s="90"/>
      <x:c r="V85" s="90"/>
      <x:c r="W85" s="90"/>
      <x:c r="X85" s="90"/>
      <x:c r="Y85" s="90"/>
      <x:c r="Z85" s="90"/>
    </x:row>
    <x:row r="86">
      <x:c r="A86" s="90"/>
      <x:c r="B86" s="90"/>
      <x:c r="C86" s="90"/>
      <x:c r="D86" s="90"/>
      <x:c r="E86" s="90"/>
      <x:c r="F86" s="90"/>
      <x:c r="G86" s="90"/>
      <x:c r="H86" s="90"/>
      <x:c r="I86" s="90"/>
      <x:c r="J86" s="90"/>
      <x:c r="K86" s="90"/>
      <x:c r="L86" s="90"/>
      <x:c r="M86" s="90"/>
      <x:c r="N86" s="90"/>
      <x:c r="O86" s="90"/>
      <x:c r="P86" s="90"/>
      <x:c r="Q86" s="90"/>
      <x:c r="R86" s="90"/>
      <x:c r="S86" s="90"/>
      <x:c r="T86" s="90"/>
      <x:c r="U86" s="90"/>
      <x:c r="V86" s="90"/>
      <x:c r="W86" s="90"/>
      <x:c r="X86" s="90"/>
      <x:c r="Y86" s="90"/>
      <x:c r="Z86" s="90"/>
    </x:row>
    <x:row r="87">
      <x:c r="A87" s="90"/>
      <x:c r="B87" s="90"/>
      <x:c r="C87" s="90"/>
      <x:c r="D87" s="90"/>
      <x:c r="E87" s="90"/>
      <x:c r="F87" s="90"/>
      <x:c r="G87" s="90"/>
      <x:c r="H87" s="90"/>
      <x:c r="I87" s="90"/>
      <x:c r="J87" s="90"/>
      <x:c r="K87" s="90"/>
      <x:c r="L87" s="90"/>
      <x:c r="M87" s="90"/>
      <x:c r="N87" s="90"/>
      <x:c r="O87" s="90"/>
      <x:c r="P87" s="90"/>
      <x:c r="Q87" s="90"/>
      <x:c r="R87" s="90"/>
      <x:c r="S87" s="90"/>
      <x:c r="T87" s="90"/>
      <x:c r="U87" s="90"/>
      <x:c r="V87" s="90"/>
      <x:c r="W87" s="90"/>
      <x:c r="X87" s="90"/>
      <x:c r="Y87" s="90"/>
      <x:c r="Z87" s="90"/>
    </x:row>
    <x:row r="88">
      <x:c r="A88" s="90"/>
      <x:c r="B88" s="90"/>
      <x:c r="C88" s="90"/>
      <x:c r="D88" s="90"/>
      <x:c r="E88" s="90"/>
      <x:c r="F88" s="90"/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  <x:c r="S88" s="90"/>
      <x:c r="T88" s="90"/>
      <x:c r="U88" s="90"/>
      <x:c r="V88" s="90"/>
      <x:c r="W88" s="90"/>
      <x:c r="X88" s="90"/>
      <x:c r="Y88" s="90"/>
      <x:c r="Z88" s="90"/>
    </x:row>
    <x:row r="89">
      <x:c r="A89" s="90"/>
      <x:c r="B89" s="90"/>
      <x:c r="C89" s="90"/>
      <x:c r="D89" s="90"/>
      <x:c r="E89" s="90"/>
      <x:c r="F89" s="90"/>
      <x:c r="G89" s="90"/>
      <x:c r="H89" s="90"/>
      <x:c r="I89" s="90"/>
      <x:c r="J89" s="90"/>
      <x:c r="K89" s="90"/>
      <x:c r="L89" s="90"/>
      <x:c r="M89" s="90"/>
      <x:c r="N89" s="90"/>
      <x:c r="O89" s="90"/>
      <x:c r="P89" s="90"/>
      <x:c r="Q89" s="90"/>
      <x:c r="R89" s="90"/>
      <x:c r="S89" s="90"/>
      <x:c r="T89" s="90"/>
      <x:c r="U89" s="90"/>
      <x:c r="V89" s="90"/>
      <x:c r="W89" s="90"/>
      <x:c r="X89" s="90"/>
      <x:c r="Y89" s="90"/>
      <x:c r="Z89" s="90"/>
    </x:row>
    <x:row r="90">
      <x:c r="A90" s="90"/>
      <x:c r="B90" s="90"/>
      <x:c r="C90" s="90"/>
      <x:c r="D90" s="90"/>
      <x:c r="E90" s="90"/>
      <x:c r="F90" s="90"/>
      <x:c r="G90" s="90"/>
      <x:c r="H90" s="90"/>
      <x:c r="I90" s="90"/>
      <x:c r="J90" s="90"/>
      <x:c r="K90" s="90"/>
      <x:c r="L90" s="90"/>
      <x:c r="M90" s="90"/>
      <x:c r="N90" s="90"/>
      <x:c r="O90" s="90"/>
      <x:c r="P90" s="90"/>
      <x:c r="Q90" s="90"/>
      <x:c r="R90" s="90"/>
      <x:c r="S90" s="90"/>
      <x:c r="T90" s="90"/>
      <x:c r="U90" s="90"/>
      <x:c r="V90" s="90"/>
      <x:c r="W90" s="90"/>
      <x:c r="X90" s="90"/>
      <x:c r="Y90" s="90"/>
      <x:c r="Z90" s="90"/>
    </x:row>
    <x:row r="91">
      <x:c r="A91" s="90"/>
      <x:c r="B91" s="90"/>
      <x:c r="C91" s="90"/>
      <x:c r="D91" s="90"/>
      <x:c r="E91" s="90"/>
      <x:c r="F91" s="90"/>
      <x:c r="G91" s="90"/>
      <x:c r="H91" s="90"/>
      <x:c r="I91" s="90"/>
      <x:c r="J91" s="90"/>
      <x:c r="K91" s="90"/>
      <x:c r="L91" s="90"/>
      <x:c r="M91" s="90"/>
      <x:c r="N91" s="90"/>
      <x:c r="O91" s="90"/>
      <x:c r="P91" s="90"/>
      <x:c r="Q91" s="90"/>
      <x:c r="R91" s="90"/>
      <x:c r="S91" s="90"/>
      <x:c r="T91" s="90"/>
      <x:c r="U91" s="90"/>
      <x:c r="V91" s="90"/>
      <x:c r="W91" s="90"/>
      <x:c r="X91" s="90"/>
      <x:c r="Y91" s="90"/>
      <x:c r="Z91" s="90"/>
    </x:row>
    <x:row r="92">
      <x:c r="A92" s="90"/>
      <x:c r="B92" s="90"/>
      <x:c r="C92" s="90"/>
      <x:c r="D92" s="90"/>
      <x:c r="E92" s="90"/>
      <x:c r="F92" s="90"/>
      <x:c r="G92" s="90"/>
      <x:c r="H92" s="90"/>
      <x:c r="I92" s="90"/>
      <x:c r="J92" s="90"/>
      <x:c r="K92" s="90"/>
      <x:c r="L92" s="90"/>
      <x:c r="M92" s="90"/>
      <x:c r="N92" s="90"/>
      <x:c r="O92" s="90"/>
      <x:c r="P92" s="90"/>
      <x:c r="Q92" s="90"/>
      <x:c r="R92" s="90"/>
      <x:c r="S92" s="90"/>
      <x:c r="T92" s="90"/>
      <x:c r="U92" s="90"/>
      <x:c r="V92" s="90"/>
      <x:c r="W92" s="90"/>
      <x:c r="X92" s="90"/>
      <x:c r="Y92" s="90"/>
      <x:c r="Z92" s="90"/>
    </x:row>
    <x:row r="93">
      <x:c r="A93" s="90"/>
      <x:c r="B93" s="90"/>
      <x:c r="C93" s="90"/>
      <x:c r="D93" s="90"/>
      <x:c r="E93" s="90"/>
      <x:c r="F93" s="90"/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  <x:c r="S93" s="90"/>
      <x:c r="T93" s="90"/>
      <x:c r="U93" s="90"/>
      <x:c r="V93" s="90"/>
      <x:c r="W93" s="90"/>
      <x:c r="X93" s="90"/>
      <x:c r="Y93" s="90"/>
      <x:c r="Z93" s="90"/>
    </x:row>
    <x:row r="94">
      <x:c r="A94" s="90"/>
      <x:c r="B94" s="90"/>
      <x:c r="C94" s="90"/>
      <x:c r="D94" s="90"/>
      <x:c r="E94" s="90"/>
      <x:c r="F94" s="90"/>
      <x:c r="G94" s="90"/>
      <x:c r="H94" s="90"/>
      <x:c r="I94" s="90"/>
      <x:c r="J94" s="90"/>
      <x:c r="K94" s="90"/>
      <x:c r="L94" s="90"/>
      <x:c r="M94" s="90"/>
      <x:c r="N94" s="90"/>
      <x:c r="O94" s="90"/>
      <x:c r="P94" s="90"/>
      <x:c r="Q94" s="90"/>
      <x:c r="R94" s="90"/>
      <x:c r="S94" s="90"/>
      <x:c r="T94" s="90"/>
      <x:c r="U94" s="90"/>
      <x:c r="V94" s="90"/>
      <x:c r="W94" s="90"/>
      <x:c r="X94" s="90"/>
      <x:c r="Y94" s="90"/>
      <x:c r="Z94" s="90"/>
    </x:row>
    <x:row r="95">
      <x:c r="A95" s="90"/>
      <x:c r="B95" s="90"/>
      <x:c r="C95" s="90"/>
      <x:c r="D95" s="90"/>
      <x:c r="E95" s="90"/>
      <x:c r="F95" s="90"/>
      <x:c r="G95" s="90"/>
      <x:c r="H95" s="90"/>
      <x:c r="I95" s="90"/>
      <x:c r="J95" s="90"/>
      <x:c r="K95" s="90"/>
      <x:c r="L95" s="90"/>
      <x:c r="M95" s="90"/>
      <x:c r="N95" s="90"/>
      <x:c r="O95" s="90"/>
      <x:c r="P95" s="90"/>
      <x:c r="Q95" s="90"/>
      <x:c r="R95" s="90"/>
      <x:c r="S95" s="90"/>
      <x:c r="T95" s="90"/>
      <x:c r="U95" s="90"/>
      <x:c r="V95" s="90"/>
      <x:c r="W95" s="90"/>
      <x:c r="X95" s="90"/>
      <x:c r="Y95" s="90"/>
      <x:c r="Z95" s="90"/>
    </x:row>
    <x:row r="96">
      <x:c r="A96" s="90"/>
      <x:c r="B96" s="90"/>
      <x:c r="C96" s="90"/>
      <x:c r="D96" s="90"/>
      <x:c r="E96" s="90"/>
      <x:c r="F96" s="90"/>
      <x:c r="G96" s="90"/>
      <x:c r="H96" s="90"/>
      <x:c r="I96" s="90"/>
      <x:c r="J96" s="90"/>
      <x:c r="K96" s="90"/>
      <x:c r="L96" s="90"/>
      <x:c r="M96" s="90"/>
      <x:c r="N96" s="90"/>
      <x:c r="O96" s="90"/>
      <x:c r="P96" s="90"/>
      <x:c r="Q96" s="90"/>
      <x:c r="R96" s="90"/>
      <x:c r="S96" s="90"/>
      <x:c r="T96" s="90"/>
      <x:c r="U96" s="90"/>
      <x:c r="V96" s="90"/>
      <x:c r="W96" s="90"/>
      <x:c r="X96" s="90"/>
      <x:c r="Y96" s="90"/>
      <x:c r="Z96" s="90"/>
    </x:row>
    <x:row r="97">
      <x:c r="A97" s="90"/>
      <x:c r="B97" s="90"/>
      <x:c r="C97" s="90"/>
      <x:c r="D97" s="90"/>
      <x:c r="E97" s="90"/>
      <x:c r="F97" s="90"/>
      <x:c r="G97" s="90"/>
      <x:c r="H97" s="90"/>
      <x:c r="I97" s="90"/>
      <x:c r="J97" s="90"/>
      <x:c r="K97" s="90"/>
      <x:c r="L97" s="90"/>
      <x:c r="M97" s="90"/>
      <x:c r="N97" s="90"/>
      <x:c r="O97" s="90"/>
      <x:c r="P97" s="90"/>
      <x:c r="Q97" s="90"/>
      <x:c r="R97" s="90"/>
      <x:c r="S97" s="90"/>
      <x:c r="T97" s="90"/>
      <x:c r="U97" s="90"/>
      <x:c r="V97" s="90"/>
      <x:c r="W97" s="90"/>
      <x:c r="X97" s="90"/>
      <x:c r="Y97" s="90"/>
      <x:c r="Z97" s="90"/>
    </x:row>
    <x:row r="98">
      <x:c r="A98" s="90"/>
      <x:c r="B98" s="90"/>
      <x:c r="C98" s="90"/>
      <x:c r="D98" s="90"/>
      <x:c r="E98" s="90"/>
      <x:c r="F98" s="90"/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  <x:c r="S98" s="90"/>
      <x:c r="T98" s="90"/>
      <x:c r="U98" s="90"/>
      <x:c r="V98" s="90"/>
      <x:c r="W98" s="90"/>
      <x:c r="X98" s="90"/>
      <x:c r="Y98" s="90"/>
      <x:c r="Z98" s="90"/>
    </x:row>
    <x:row r="99">
      <x:c r="A99" s="90"/>
      <x:c r="B99" s="90"/>
      <x:c r="C99" s="90"/>
      <x:c r="D99" s="90"/>
      <x:c r="E99" s="90"/>
      <x:c r="F99" s="90"/>
      <x:c r="G99" s="90"/>
      <x:c r="H99" s="90"/>
      <x:c r="I99" s="90"/>
      <x:c r="J99" s="90"/>
      <x:c r="K99" s="90"/>
      <x:c r="L99" s="90"/>
      <x:c r="M99" s="90"/>
      <x:c r="N99" s="90"/>
      <x:c r="O99" s="90"/>
      <x:c r="P99" s="90"/>
      <x:c r="Q99" s="90"/>
      <x:c r="R99" s="90"/>
      <x:c r="S99" s="90"/>
      <x:c r="T99" s="90"/>
      <x:c r="U99" s="90"/>
      <x:c r="V99" s="90"/>
      <x:c r="W99" s="90"/>
      <x:c r="X99" s="90"/>
      <x:c r="Y99" s="90"/>
      <x:c r="Z99" s="90"/>
    </x:row>
    <x:row r="100">
      <x:c r="A100" s="90"/>
      <x:c r="B100" s="90"/>
      <x:c r="C100" s="90"/>
      <x:c r="D100" s="90"/>
      <x:c r="E100" s="90"/>
      <x:c r="F100" s="90"/>
      <x:c r="G100" s="90"/>
      <x:c r="H100" s="90"/>
      <x:c r="I100" s="90"/>
      <x:c r="J100" s="90"/>
      <x:c r="K100" s="90"/>
      <x:c r="L100" s="90"/>
      <x:c r="M100" s="90"/>
      <x:c r="N100" s="90"/>
      <x:c r="O100" s="90"/>
      <x:c r="P100" s="90"/>
      <x:c r="Q100" s="90"/>
      <x:c r="R100" s="90"/>
      <x:c r="S100" s="90"/>
      <x:c r="T100" s="90"/>
      <x:c r="U100" s="90"/>
      <x:c r="V100" s="90"/>
      <x:c r="W100" s="90"/>
      <x:c r="X100" s="90"/>
      <x:c r="Y100" s="90"/>
      <x:c r="Z100" s="90"/>
    </x:row>
  </x:sheetData>
  <x:mergeCells>
    <x:mergeCell ref="A2:L2"/>
    <x:mergeCell ref="A3:L3"/>
  </x:mergeCells>
  <x:dataValidations count="2">
    <x:dataValidation type="list" sqref="E7:H8">
      <x:formula1>"Creation,Released,Allocated,In Progress,Picked,Packed,Ready to Load,Complete,Shipped"</x:formula1>
    </x:dataValidation>
    <x:dataValidation type="list" sqref="L7:L8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37942fb1ea4ced"/>
  </x:tableParts>
</x:worksheet>
</file>